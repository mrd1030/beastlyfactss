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eds Product" sheetId="1" state="visible" r:id="rId1"/>
  </sheets>
  <definedNames>
    <definedName name="_xlnm._FilterDatabase" localSheetId="0" hidden="1">'Needs Product'!$A$14:$S$126</definedName>
    <definedName name="_xlnm.Print_Titles" localSheetId="0">'Needs Product'!$14:$14</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4">
    <font>
      <name val="Calibri"/>
      <family val="2"/>
      <color theme="1"/>
      <sz val="11"/>
      <scheme val="minor"/>
    </font>
    <font>
      <name val="Arial"/>
      <b val="1"/>
      <color rgb="001B2631"/>
      <sz val="16"/>
    </font>
    <font>
      <name val="Arial"/>
      <i val="1"/>
      <color rgb="00566573"/>
      <sz val="10"/>
    </font>
    <font>
      <name val="Arial"/>
      <b val="1"/>
      <color rgb="00FFFFFF"/>
    </font>
    <font>
      <name val="Arial"/>
      <sz val="10"/>
    </font>
    <font>
      <name val="Arial"/>
      <b val="1"/>
    </font>
    <font>
      <name val="Arial"/>
      <i val="1"/>
      <color rgb="00566573"/>
      <sz val="9"/>
    </font>
    <font>
      <name val="Arial"/>
      <b val="1"/>
      <color rgb="00566573"/>
      <sz val="9"/>
    </font>
    <font>
      <name val="Arial"/>
      <color rgb="00566573"/>
      <sz val="9"/>
    </font>
    <font>
      <name val="Arial"/>
      <b val="1"/>
      <color rgb="001B2631"/>
    </font>
    <font>
      <name val="Arial"/>
      <color rgb="001B2631"/>
      <sz val="10"/>
    </font>
    <font>
      <name val="Arial"/>
      <b val="1"/>
      <color rgb="00FFFFFF"/>
      <sz val="10"/>
    </font>
    <font>
      <name val="Arial"/>
      <b val="1"/>
      <color rgb="00C0392B"/>
      <sz val="10"/>
    </font>
    <font>
      <name val="Arial"/>
      <b val="1"/>
      <color rgb="007F8C8D"/>
      <sz val="10"/>
    </font>
  </fonts>
  <fills count="24">
    <fill>
      <patternFill/>
    </fill>
    <fill>
      <patternFill patternType="gray125"/>
    </fill>
    <fill>
      <patternFill patternType="solid">
        <fgColor rgb="001B2631"/>
      </patternFill>
    </fill>
    <fill>
      <patternFill patternType="solid">
        <fgColor rgb="00C0392B"/>
      </patternFill>
    </fill>
    <fill>
      <patternFill patternType="solid">
        <fgColor rgb="00E67E22"/>
      </patternFill>
    </fill>
    <fill>
      <patternFill patternType="solid">
        <fgColor rgb="0027AE60"/>
      </patternFill>
    </fill>
    <fill>
      <patternFill patternType="solid">
        <fgColor rgb="002E86C1"/>
      </patternFill>
    </fill>
    <fill>
      <patternFill patternType="solid">
        <fgColor rgb="007D3C98"/>
      </patternFill>
    </fill>
    <fill>
      <patternFill patternType="solid">
        <fgColor rgb="005D6D7E"/>
      </patternFill>
    </fill>
    <fill>
      <patternFill patternType="solid">
        <fgColor rgb="00FADBD8"/>
      </patternFill>
    </fill>
    <fill>
      <patternFill patternType="solid">
        <fgColor rgb="00FCF3CF"/>
      </patternFill>
    </fill>
    <fill>
      <patternFill patternType="solid">
        <fgColor rgb="00D5F5E3"/>
      </patternFill>
    </fill>
    <fill>
      <patternFill patternType="solid">
        <fgColor rgb="00E5E7E9"/>
      </patternFill>
    </fill>
    <fill>
      <patternFill patternType="solid">
        <fgColor rgb="00F9E79F"/>
      </patternFill>
    </fill>
    <fill>
      <patternFill patternType="solid">
        <fgColor rgb="00D6EAF8"/>
      </patternFill>
    </fill>
    <fill>
      <patternFill patternType="solid">
        <fgColor rgb="00F2F3F4"/>
      </patternFill>
    </fill>
    <fill>
      <patternFill patternType="solid">
        <fgColor rgb="00FDEDEC"/>
      </patternFill>
    </fill>
    <fill>
      <patternFill patternType="solid">
        <fgColor rgb="00FEF9E7"/>
      </patternFill>
    </fill>
    <fill>
      <patternFill patternType="solid">
        <fgColor rgb="00EAFAF1"/>
      </patternFill>
    </fill>
    <fill>
      <patternFill patternType="solid">
        <fgColor rgb="00F6EDE3"/>
      </patternFill>
    </fill>
    <fill>
      <patternFill patternType="solid">
        <fgColor rgb="00F4ECF7"/>
      </patternFill>
    </fill>
    <fill>
      <patternFill patternType="solid">
        <fgColor rgb="00FDEBD0"/>
      </patternFill>
    </fill>
    <fill>
      <patternFill patternType="solid">
        <fgColor rgb="00EBF5FB"/>
      </patternFill>
    </fill>
    <fill>
      <patternFill patternType="solid">
        <fgColor rgb="00E8F8F5"/>
      </patternFill>
    </fill>
  </fills>
  <borders count="6">
    <border>
      <left/>
      <right/>
      <top/>
      <bottom/>
      <diagonal/>
    </border>
    <border>
      <left style="thin">
        <color rgb="00D5D8DC"/>
      </left>
      <right style="thin">
        <color rgb="00D5D8DC"/>
      </right>
      <top style="thin">
        <color rgb="00D5D8DC"/>
      </top>
      <bottom style="thin">
        <color rgb="00D5D8DC"/>
      </bottom>
    </border>
    <border>
      <left/>
      <right/>
      <top style="thin">
        <color rgb="00D5D8DC"/>
      </top>
      <bottom/>
      <diagonal/>
    </border>
    <border>
      <left/>
      <right style="thin">
        <color rgb="00D5D8DC"/>
      </right>
      <top style="thin">
        <color rgb="00D5D8DC"/>
      </top>
      <bottom/>
      <diagonal/>
    </border>
    <border>
      <left/>
      <right/>
      <top style="thin">
        <color rgb="00D5D8DC"/>
      </top>
      <bottom style="thin">
        <color rgb="00D5D8DC"/>
      </bottom>
      <diagonal/>
    </border>
    <border>
      <left/>
      <right style="thin">
        <color rgb="00D5D8DC"/>
      </right>
      <top style="thin">
        <color rgb="00D5D8DC"/>
      </top>
      <bottom style="thin">
        <color rgb="00D5D8DC"/>
      </bottom>
      <diagonal/>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xf>
    <xf numFmtId="0" fontId="3" fillId="3" borderId="1" pivotButton="0" quotePrefix="0" xfId="0"/>
    <xf numFmtId="0" fontId="0" fillId="0" borderId="1" pivotButton="0" quotePrefix="0" xfId="0"/>
    <xf numFmtId="0" fontId="4" fillId="0" borderId="1" pivotButton="0" quotePrefix="0" xfId="0"/>
    <xf numFmtId="0" fontId="5" fillId="0" borderId="1" pivotButton="0" quotePrefix="0" xfId="0"/>
    <xf numFmtId="0" fontId="5" fillId="9" borderId="1" pivotButton="0" quotePrefix="0" xfId="0"/>
    <xf numFmtId="0" fontId="3" fillId="4" borderId="1" pivotButton="0" quotePrefix="0" xfId="0"/>
    <xf numFmtId="0" fontId="5" fillId="10" borderId="1" pivotButton="0" quotePrefix="0" xfId="0"/>
    <xf numFmtId="0" fontId="3" fillId="5" borderId="1" pivotButton="0" quotePrefix="0" xfId="0"/>
    <xf numFmtId="0" fontId="5" fillId="11" borderId="1" pivotButton="0" quotePrefix="0" xfId="0"/>
    <xf numFmtId="0" fontId="3" fillId="6" borderId="1" pivotButton="0" quotePrefix="0" xfId="0"/>
    <xf numFmtId="0" fontId="5" fillId="12" borderId="1" pivotButton="0" quotePrefix="0" xfId="0"/>
    <xf numFmtId="0" fontId="3" fillId="7" borderId="1" pivotButton="0" quotePrefix="0" xfId="0"/>
    <xf numFmtId="0" fontId="5" fillId="0" borderId="0" pivotButton="0" quotePrefix="0" xfId="0"/>
    <xf numFmtId="9" fontId="5" fillId="0" borderId="0" pivotButton="0" quotePrefix="0" xfId="0"/>
    <xf numFmtId="0" fontId="6" fillId="0" borderId="0" pivotButton="0" quotePrefix="0" xfId="0"/>
    <xf numFmtId="0" fontId="3" fillId="8" borderId="1" pivotButton="0" quotePrefix="0" xfId="0"/>
    <xf numFmtId="0" fontId="7" fillId="0" borderId="0" pivotButton="0" quotePrefix="0" xfId="0"/>
    <xf numFmtId="0" fontId="8" fillId="0" borderId="0" pivotButton="0" quotePrefix="0" xfId="0"/>
    <xf numFmtId="0" fontId="3" fillId="2" borderId="1" applyAlignment="1" pivotButton="0" quotePrefix="0" xfId="0">
      <alignment horizontal="center" vertical="center" wrapText="1"/>
    </xf>
    <xf numFmtId="0" fontId="9" fillId="13" borderId="1" applyAlignment="1" pivotButton="0" quotePrefix="0" xfId="0">
      <alignment horizontal="center" vertical="center" wrapText="1"/>
    </xf>
    <xf numFmtId="0" fontId="9" fillId="14" borderId="1" applyAlignment="1" pivotButton="0" quotePrefix="0" xfId="0">
      <alignment horizontal="center" vertical="center" wrapText="1"/>
    </xf>
    <xf numFmtId="0" fontId="11" fillId="3" borderId="1" applyAlignment="1" pivotButton="0" quotePrefix="0" xfId="0">
      <alignment horizontal="left" vertical="top" wrapText="1"/>
    </xf>
    <xf numFmtId="0" fontId="12" fillId="0" borderId="1" applyAlignment="1" pivotButton="0" quotePrefix="0" xfId="0">
      <alignment horizontal="center" vertical="top" wrapText="1"/>
    </xf>
    <xf numFmtId="0" fontId="4" fillId="15" borderId="1" applyAlignment="1" pivotButton="0" quotePrefix="0" xfId="0">
      <alignment horizontal="left" vertical="top"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10" fillId="0" borderId="1" applyAlignment="1" pivotButton="0" quotePrefix="0" xfId="0">
      <alignment horizontal="center" vertical="top" wrapText="1"/>
    </xf>
    <xf numFmtId="164" fontId="4" fillId="0" borderId="1" applyAlignment="1" pivotButton="0" quotePrefix="0" xfId="0">
      <alignment horizontal="center" vertical="top" wrapText="1"/>
    </xf>
    <xf numFmtId="165" fontId="4" fillId="0" borderId="1" applyAlignment="1" pivotButton="0" quotePrefix="0" xfId="0">
      <alignment horizontal="center" vertical="top" wrapText="1"/>
    </xf>
    <xf numFmtId="0" fontId="4" fillId="16" borderId="1" applyAlignment="1" pivotButton="0" quotePrefix="0" xfId="0">
      <alignment horizontal="left" vertical="top" wrapText="1"/>
    </xf>
    <xf numFmtId="0" fontId="11" fillId="4" borderId="1" applyAlignment="1" pivotButton="0" quotePrefix="0" xfId="0">
      <alignment horizontal="left" vertical="top" wrapText="1"/>
    </xf>
    <xf numFmtId="0"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0" fontId="4" fillId="20" borderId="1" applyAlignment="1" pivotButton="0" quotePrefix="0" xfId="0">
      <alignment horizontal="left" vertical="top" wrapText="1"/>
    </xf>
    <xf numFmtId="0" fontId="13" fillId="0" borderId="1" applyAlignment="1" pivotButton="0" quotePrefix="0" xfId="0">
      <alignment horizontal="center" vertical="top" wrapText="1"/>
    </xf>
    <xf numFmtId="0" fontId="4" fillId="21" borderId="1" applyAlignment="1" pivotButton="0" quotePrefix="0" xfId="0">
      <alignment horizontal="left" vertical="top" wrapText="1"/>
    </xf>
    <xf numFmtId="0" fontId="11" fillId="5" borderId="1" applyAlignment="1" pivotButton="0" quotePrefix="0" xfId="0">
      <alignment horizontal="left" vertical="top" wrapText="1"/>
    </xf>
    <xf numFmtId="0" fontId="11" fillId="6" borderId="1" applyAlignment="1" pivotButton="0" quotePrefix="0" xfId="0">
      <alignment horizontal="left" vertical="top" wrapText="1"/>
    </xf>
    <xf numFmtId="0" fontId="4" fillId="22" borderId="1" applyAlignment="1" pivotButton="0" quotePrefix="0" xfId="0">
      <alignment horizontal="left" vertical="top" wrapText="1"/>
    </xf>
    <xf numFmtId="0" fontId="4" fillId="23" borderId="1" applyAlignment="1" pivotButton="0" quotePrefix="0" xfId="0">
      <alignment horizontal="left" vertical="top" wrapText="1"/>
    </xf>
    <xf numFmtId="0" fontId="11" fillId="7" borderId="1" applyAlignment="1" pivotButton="0" quotePrefix="0" xfId="0">
      <alignment horizontal="left" vertical="top" wrapText="1"/>
    </xf>
    <xf numFmtId="0" fontId="11" fillId="8" borderId="1" applyAlignment="1" pivotButton="0" quotePrefix="0" xfId="0">
      <alignment horizontal="left" vertical="top" wrapText="1"/>
    </xf>
    <xf numFmtId="0" fontId="0" fillId="0" borderId="5" pivotButton="0" quotePrefix="0" xfId="0"/>
    <xf numFmtId="0" fontId="0" fillId="0" borderId="4" pivotButton="0" quotePrefix="0" xfId="0"/>
  </cellXfs>
  <cellStyles count="1">
    <cellStyle name="Normal" xfId="0" builtinId="0" hidden="0"/>
  </cellStyles>
  <dxfs count="6">
    <dxf>
      <fill>
        <patternFill patternType="solid">
          <fgColor rgb="00FADBD8"/>
          <bgColor rgb="00FADBD8"/>
        </patternFill>
      </fill>
    </dxf>
    <dxf>
      <fill>
        <patternFill patternType="solid">
          <fgColor rgb="00FCF3CF"/>
          <bgColor rgb="00FCF3CF"/>
        </patternFill>
      </fill>
    </dxf>
    <dxf>
      <fill>
        <patternFill patternType="solid">
          <fgColor rgb="00D5F5E3"/>
          <bgColor rgb="00D5F5E3"/>
        </patternFill>
      </fill>
    </dxf>
    <dxf>
      <fill>
        <patternFill patternType="solid">
          <fgColor rgb="00E5E7E9"/>
          <bgColor rgb="00E5E7E9"/>
        </patternFill>
      </fill>
    </dxf>
    <dxf>
      <font>
        <strike val="1"/>
        <color rgb="007F8C8D"/>
      </font>
    </dxf>
    <dxf>
      <font>
        <b val="1"/>
        <color rgb="00E67E2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S126"/>
  <sheetViews>
    <sheetView zoomScale="90" workbookViewId="0">
      <pane xSplit="4" ySplit="14" topLeftCell="E1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9" customWidth="1" min="2" max="2"/>
    <col width="20" customWidth="1" min="3" max="3"/>
    <col width="52" customWidth="1" min="4" max="4"/>
    <col width="10" customWidth="1" min="5" max="5"/>
    <col width="48" customWidth="1" min="6" max="6"/>
    <col width="18" customWidth="1" min="7" max="7"/>
    <col width="34" customWidth="1" min="8" max="8"/>
    <col width="17" customWidth="1" min="9" max="9"/>
    <col width="30" customWidth="1" min="10" max="10"/>
    <col width="12" customWidth="1" min="11" max="11"/>
    <col width="40" customWidth="1" min="12" max="12"/>
    <col width="14" customWidth="1" min="13" max="13"/>
    <col width="30" customWidth="1" min="14" max="14"/>
    <col width="13" customWidth="1" min="15" max="15"/>
    <col width="9" customWidth="1" min="16" max="16"/>
    <col width="11" customWidth="1" min="17" max="17"/>
    <col width="12" customWidth="1" min="18" max="18"/>
    <col width="30" customWidth="1" min="19" max="19"/>
  </cols>
  <sheetData>
    <row r="1">
      <c r="A1" s="1" t="inlineStr">
        <is>
          <t>BeastlyFacts: Products Needed for the /gear Catalog</t>
        </is>
      </c>
    </row>
    <row r="2">
      <c r="A2" s="2" t="inlineStr">
        <is>
          <t>From NEEDS_PRODUCT.md, snapshot 2026-09-25. Sorted by priority tier, then by how many species pages name the item. Fill in the yellow columns (Status onward) as you source each item. ASIN (blue header) fills itself from the Amazon DP link. Price range uses the catalog format, for example $11-$19.</t>
        </is>
      </c>
    </row>
    <row r="4">
      <c r="A4" s="3" t="inlineStr">
        <is>
          <t>Priority tier</t>
        </is>
      </c>
      <c r="C4" s="3" t="inlineStr">
        <is>
          <t>What it means</t>
        </is>
      </c>
      <c r="H4" s="3" t="inlineStr">
        <is>
          <t>Items</t>
        </is>
      </c>
      <c r="I4" s="3" t="inlineStr">
        <is>
          <t>Status</t>
        </is>
      </c>
      <c r="J4" s="3" t="inlineStr">
        <is>
          <t>Items</t>
        </is>
      </c>
    </row>
    <row r="5">
      <c r="A5" s="4" t="inlineStr">
        <is>
          <t>1 Seasonal: do now</t>
        </is>
      </c>
      <c r="B5" s="47" t="n"/>
      <c r="C5" s="6" t="inlineStr">
        <is>
          <t>Fall and winter heating and humidity. Pond de-icer before the first freeze.</t>
        </is>
      </c>
      <c r="D5" s="48" t="n"/>
      <c r="E5" s="48" t="n"/>
      <c r="F5" s="48" t="n"/>
      <c r="G5" s="47" t="n"/>
      <c r="H5" s="7">
        <f>COUNTIF($A$15:$A$126,"1 Seasonal: do now")</f>
        <v/>
      </c>
      <c r="I5" s="8" t="inlineStr">
        <is>
          <t>To find</t>
        </is>
      </c>
      <c r="J5" s="7">
        <f>COUNTIF($I$15:$I$126,"To find")</f>
        <v/>
      </c>
    </row>
    <row r="6">
      <c r="A6" s="9" t="inlineStr">
        <is>
          <t>2 Wide reach</t>
        </is>
      </c>
      <c r="B6" s="47" t="n"/>
      <c r="C6" s="6" t="inlineStr">
        <is>
          <t>Named on 7 or more species pages: one link fixes many pages.</t>
        </is>
      </c>
      <c r="D6" s="48" t="n"/>
      <c r="E6" s="48" t="n"/>
      <c r="F6" s="48" t="n"/>
      <c r="G6" s="47" t="n"/>
      <c r="H6" s="7">
        <f>COUNTIF($A$15:$A$126,"2 Wide reach")</f>
        <v/>
      </c>
      <c r="I6" s="10" t="inlineStr">
        <is>
          <t>Link found</t>
        </is>
      </c>
      <c r="J6" s="7">
        <f>COUNTIF($I$15:$I$126,"Link found")</f>
        <v/>
      </c>
    </row>
    <row r="7">
      <c r="A7" s="11" t="inlineStr">
        <is>
          <t>3 Repeat purchase</t>
        </is>
      </c>
      <c r="B7" s="47" t="n"/>
      <c r="C7" s="6" t="inlineStr">
        <is>
          <t>Food and consumables people rebuy, so a link can earn more than once.</t>
        </is>
      </c>
      <c r="D7" s="48" t="n"/>
      <c r="E7" s="48" t="n"/>
      <c r="F7" s="48" t="n"/>
      <c r="G7" s="47" t="n"/>
      <c r="H7" s="7">
        <f>COUNTIF($A$15:$A$126,"3 Repeat purchase")</f>
        <v/>
      </c>
      <c r="I7" s="12" t="inlineStr">
        <is>
          <t>Added to catalog</t>
        </is>
      </c>
      <c r="J7" s="7">
        <f>COUNTIF($I$15:$I$126,"Added to catalog")</f>
        <v/>
      </c>
    </row>
    <row r="8">
      <c r="A8" s="13" t="inlineStr">
        <is>
          <t>4 Standard</t>
        </is>
      </c>
      <c r="B8" s="47" t="n"/>
      <c r="C8" s="6" t="inlineStr">
        <is>
          <t>Everything else, roughly by reach.</t>
        </is>
      </c>
      <c r="D8" s="48" t="n"/>
      <c r="E8" s="48" t="n"/>
      <c r="F8" s="48" t="n"/>
      <c r="G8" s="47" t="n"/>
      <c r="H8" s="7">
        <f>COUNTIF($A$15:$A$126,"4 Standard")</f>
        <v/>
      </c>
      <c r="I8" s="14" t="inlineStr">
        <is>
          <t>Skip</t>
        </is>
      </c>
      <c r="J8" s="7">
        <f>COUNTIF($I$15:$I$126,"Skip")</f>
        <v/>
      </c>
    </row>
    <row r="9">
      <c r="A9" s="15" t="inlineStr">
        <is>
          <t>5 Big ticket, later</t>
        </is>
      </c>
      <c r="B9" s="47" t="n"/>
      <c r="C9" s="6" t="inlineStr">
        <is>
          <t>Large or custom enclosures, often freight shipped. Lower conversion.</t>
        </is>
      </c>
      <c r="D9" s="48" t="n"/>
      <c r="E9" s="48" t="n"/>
      <c r="F9" s="48" t="n"/>
      <c r="G9" s="47" t="n"/>
      <c r="H9" s="7">
        <f>COUNTIF($A$15:$A$126,"5 Big ticket, later")</f>
        <v/>
      </c>
      <c r="I9" s="16" t="inlineStr">
        <is>
          <t>Done</t>
        </is>
      </c>
      <c r="J9" s="17">
        <f>IFERROR(J7/(J5+J6+J7),0)</f>
        <v/>
      </c>
      <c r="K9" s="18" t="inlineStr">
        <is>
          <t>share of non-skipped items added</t>
        </is>
      </c>
    </row>
    <row r="10">
      <c r="A10" s="19" t="inlineStr">
        <is>
          <t>6 Specialty supplier</t>
        </is>
      </c>
      <c r="B10" s="47" t="n"/>
      <c r="C10" s="6" t="inlineStr">
        <is>
          <t>Live or frozen animals and live plants. Big general stores usually do not sell these.</t>
        </is>
      </c>
      <c r="D10" s="48" t="n"/>
      <c r="E10" s="48" t="n"/>
      <c r="F10" s="48" t="n"/>
      <c r="G10" s="47" t="n"/>
      <c r="H10" s="7">
        <f>COUNTIF($A$15:$A$126,"6 Specialty supplier")</f>
        <v/>
      </c>
    </row>
    <row r="11">
      <c r="A11" s="16" t="inlineStr">
        <is>
          <t>Total</t>
        </is>
      </c>
      <c r="H11" s="16">
        <f>SUM(H5:H10)</f>
        <v/>
      </c>
    </row>
    <row r="12">
      <c r="A12" s="20" t="inlineStr">
        <is>
          <t>Category colors (column C):</t>
        </is>
      </c>
      <c r="C12" s="21" t="inlineStr">
        <is>
          <t>Heating  Lighting  Filtration  Water testing  Enclosures and cages  Substrate  Food and supplements  Health and first aid  Other</t>
        </is>
      </c>
    </row>
    <row r="14" ht="32" customHeight="1">
      <c r="A14" s="22" t="inlineStr">
        <is>
          <t>Priority tier</t>
        </is>
      </c>
      <c r="B14" s="22" t="inlineStr">
        <is>
          <t>Level</t>
        </is>
      </c>
      <c r="C14" s="22" t="inlineStr">
        <is>
          <t>Category</t>
        </is>
      </c>
      <c r="D14" s="22" t="inlineStr">
        <is>
          <t>Product and spec to match</t>
        </is>
      </c>
      <c r="E14" s="22" t="inlineStr">
        <is>
          <t>Species pages</t>
        </is>
      </c>
      <c r="F14" s="22" t="inlineStr">
        <is>
          <t>Species that name it</t>
        </is>
      </c>
      <c r="G14" s="22" t="inlineStr">
        <is>
          <t>Named on</t>
        </is>
      </c>
      <c r="H14" s="22" t="inlineStr">
        <is>
          <t>Notes</t>
        </is>
      </c>
      <c r="I14" s="23" t="inlineStr">
        <is>
          <t>Status</t>
        </is>
      </c>
      <c r="J14" s="23" t="inlineStr">
        <is>
          <t>Product name</t>
        </is>
      </c>
      <c r="K14" s="23" t="inlineStr">
        <is>
          <t>Retailer</t>
        </is>
      </c>
      <c r="L14" s="23" t="inlineStr">
        <is>
          <t>Amazon DP link (full URL)</t>
        </is>
      </c>
      <c r="M14" s="24" t="inlineStr">
        <is>
          <t>ASIN (auto)</t>
        </is>
      </c>
      <c r="N14" s="23" t="inlineStr">
        <is>
          <t>Affiliate link (amzn.to)</t>
        </is>
      </c>
      <c r="O14" s="23" t="inlineStr">
        <is>
          <t>Price range</t>
        </is>
      </c>
      <c r="P14" s="23" t="inlineStr">
        <is>
          <t>Rating</t>
        </is>
      </c>
      <c r="Q14" s="23" t="inlineStr">
        <is>
          <t>Image saved</t>
        </is>
      </c>
      <c r="R14" s="23" t="inlineStr">
        <is>
          <t>Date added</t>
        </is>
      </c>
      <c r="S14" s="23" t="inlineStr">
        <is>
          <t>My notes</t>
        </is>
      </c>
    </row>
    <row r="15">
      <c r="A15" s="25" t="inlineStr">
        <is>
          <t>1 Seasonal: do now</t>
        </is>
      </c>
      <c r="B15" s="26" t="inlineStr">
        <is>
          <t>NEED</t>
        </is>
      </c>
      <c r="C15" s="27" t="inlineStr">
        <is>
          <t>Other</t>
        </is>
      </c>
      <c r="D15" s="28" t="inlineStr">
        <is>
          <t>Cool-mist humidifier with a plug-in humidistat</t>
        </is>
      </c>
      <c r="E15" s="29" t="n">
        <v>5</v>
      </c>
      <c r="F15" s="28" t="inlineStr">
        <is>
          <t>Jackson's chameleon, Veiled chameleon, Green anole, Conure, Hedgehog</t>
        </is>
      </c>
      <c r="G15" s="28" t="inlineStr">
        <is>
          <t>Hub, Setup prose</t>
        </is>
      </c>
      <c r="H15" s="28" t="inlineStr">
        <is>
          <t>(room) (room)</t>
        </is>
      </c>
      <c r="I15" s="29" t="inlineStr">
        <is>
          <t>Added to catalog</t>
        </is>
      </c>
      <c r="J15" s="28" t="inlineStr">
        <is>
          <t>Inkbird IHC200 Plug-In Humidity Controller (Humidistat)</t>
        </is>
      </c>
      <c r="K15" s="29" t="inlineStr">
        <is>
          <t>Amazon</t>
        </is>
      </c>
      <c r="L15" s="28" t="inlineStr">
        <is>
          <t>https://www.amazon.com/dp/B01J1E5LWM</t>
        </is>
      </c>
      <c r="M15" s="30">
        <f>IF(ISNUMBER(SEARCH("/dp/",L15)),MID(L15,SEARCH("/dp/",L15)+4,10),"")</f>
        <v/>
      </c>
      <c r="N15" s="28" t="inlineStr">
        <is>
          <t>https://www.amazon.com/dp/B01J1E5LWM?tag=beastlyfacts-20</t>
        </is>
      </c>
      <c r="O15" s="29" t="inlineStr">
        <is>
          <t>check</t>
        </is>
      </c>
      <c r="P15" s="31" t="n"/>
      <c r="Q15" s="29" t="inlineStr">
        <is>
          <t>No</t>
        </is>
      </c>
      <c r="R15" s="32" t="inlineStr">
        <is>
          <t>2026-09-28</t>
        </is>
      </c>
      <c r="S15" s="28" t="inlineStr">
        <is>
          <t>PHOTO NEEDED: product-267.jpg = Inkbird IHC200 Plug-In Humidity Controller (Humidistat) (amazon.com/dp/B01J1E5LWM); product-268.jpg = Everlasting Comfort 6L Cool Mist Ultrasonic Humidifier (amazon.com/dp/B077Z2QCS5)
Catalog slug: humidistat-inkbird-ihc200, humidifier-everlasting-comfort-6l. Also added: Everlasting Comfort 6L Cool Mist Ultrasonic Humidifier (https://www.amazon.com/dp/B077Z2QCS5). Sourced 2026-09-28 from Amazon search results; price not visible from here. Two parts. Humidifier: Everlasting Comfort 6L Cool Mist (B077Z2QCS5); alt Levoit 6L (B08HS45N13). The humidistat only cuts power, so the humidifier must resume misting when power returns (knob models do, touch-button models like Levoit often do not). Check the Everlasting Comfort controls before publishing.</t>
        </is>
      </c>
    </row>
    <row r="16">
      <c r="A16" s="25" t="inlineStr">
        <is>
          <t>1 Seasonal: do now</t>
        </is>
      </c>
      <c r="B16" s="26" t="inlineStr">
        <is>
          <t>NEED</t>
        </is>
      </c>
      <c r="C16" s="33" t="inlineStr">
        <is>
          <t>Heating</t>
        </is>
      </c>
      <c r="D16" s="28" t="inlineStr">
        <is>
          <t>Low-wattage heat bulb, 25 to 40W, for small arboreal and amphibian enclosures (the catalog's smallest is a 50W halogen)</t>
        </is>
      </c>
      <c r="E16" s="29" t="n">
        <v>4</v>
      </c>
      <c r="F16" s="28" t="inlineStr">
        <is>
          <t>Crested gecko, Gargoyle gecko, White's tree frog, Pacman frog</t>
        </is>
      </c>
      <c r="G16" s="28" t="inlineStr">
        <is>
          <t>Hub, Cost</t>
        </is>
      </c>
      <c r="H16" s="28" t="inlineStr"/>
      <c r="I16" s="29" t="inlineStr">
        <is>
          <t>Added to catalog</t>
        </is>
      </c>
      <c r="J16" s="28" t="inlineStr">
        <is>
          <t>Zoo Med Reptile Basking Spot Lamp, 25W</t>
        </is>
      </c>
      <c r="K16" s="29" t="inlineStr">
        <is>
          <t>Amazon</t>
        </is>
      </c>
      <c r="L16" s="28" t="inlineStr">
        <is>
          <t>https://www.amazon.com/dp/B0002DIWYQ</t>
        </is>
      </c>
      <c r="M16" s="30">
        <f>IF(ISNUMBER(SEARCH("/dp/",L16)),MID(L16,SEARCH("/dp/",L16)+4,10),"")</f>
        <v/>
      </c>
      <c r="N16" s="28" t="inlineStr">
        <is>
          <t>https://www.amazon.com/dp/B0002DIWYQ?tag=beastlyfacts-20</t>
        </is>
      </c>
      <c r="O16" s="29" t="inlineStr">
        <is>
          <t>check</t>
        </is>
      </c>
      <c r="P16" s="31" t="n"/>
      <c r="Q16" s="29" t="inlineStr">
        <is>
          <t>No</t>
        </is>
      </c>
      <c r="R16" s="32" t="inlineStr">
        <is>
          <t>2026-09-28</t>
        </is>
      </c>
      <c r="S16" s="28" t="inlineStr">
        <is>
          <t>PHOTO NEEDED: product-269.jpg = Zoo Med Reptile Basking Spot Lamp, 25W (amazon.com/dp/B0002DIWYQ)
Catalog slug: heat-bulb-zoo-med-basking-spot-25w. Sourced 2026-09-28 from Amazon search results; price not visible from here. No 40W Zoo Med or Exo Terra basking bulb found on Amazon. Alt: Zoo Med Daylight Blue 25W (B0002AQD1S).</t>
        </is>
      </c>
    </row>
    <row r="17">
      <c r="A17" s="25" t="inlineStr">
        <is>
          <t>1 Seasonal: do now</t>
        </is>
      </c>
      <c r="B17" s="26" t="inlineStr">
        <is>
          <t>NEED</t>
        </is>
      </c>
      <c r="C17" s="33" t="inlineStr">
        <is>
          <t>Heating</t>
        </is>
      </c>
      <c r="D17" s="28" t="inlineStr">
        <is>
          <t>Deep heat projector, 50 to 80W</t>
        </is>
      </c>
      <c r="E17" s="29" t="n">
        <v>3</v>
      </c>
      <c r="F17" s="28" t="inlineStr">
        <is>
          <t>Tokay gecko, Blue-tongue skink, Savannah monitor</t>
        </is>
      </c>
      <c r="G17" s="28" t="inlineStr">
        <is>
          <t>Hub, Setup prose</t>
        </is>
      </c>
      <c r="H17" s="28" t="inlineStr"/>
      <c r="I17" s="29" t="inlineStr">
        <is>
          <t>Added to catalog</t>
        </is>
      </c>
      <c r="J17" s="28" t="inlineStr">
        <is>
          <t>Arcadia Deep Heat Projector, 80W</t>
        </is>
      </c>
      <c r="K17" s="29" t="inlineStr">
        <is>
          <t>Amazon</t>
        </is>
      </c>
      <c r="L17" s="28" t="inlineStr">
        <is>
          <t>https://www.amazon.com/dp/B0BSVT86WL</t>
        </is>
      </c>
      <c r="M17" s="30">
        <f>IF(ISNUMBER(SEARCH("/dp/",L17)),MID(L17,SEARCH("/dp/",L17)+4,10),"")</f>
        <v/>
      </c>
      <c r="N17" s="28" t="inlineStr">
        <is>
          <t>https://www.amazon.com/dp/B0BSVT86WL?tag=beastlyfacts-20</t>
        </is>
      </c>
      <c r="O17" s="29" t="inlineStr">
        <is>
          <t>check</t>
        </is>
      </c>
      <c r="P17" s="31" t="n"/>
      <c r="Q17" s="29" t="inlineStr">
        <is>
          <t>No</t>
        </is>
      </c>
      <c r="R17" s="32" t="inlineStr">
        <is>
          <t>2026-09-28</t>
        </is>
      </c>
      <c r="S17" s="28" t="inlineStr">
        <is>
          <t>PHOTO NEEDED: product-270.jpg = Arcadia Deep Heat Projector, 80W (amazon.com/dp/B0BSVT86WL)
Catalog slug: deep-heat-projector-arcadia-80w. Sourced 2026-09-28 from Amazon search results; price not visible from here. Alt: Arcadia Deep Heat Emitter 50W (B0BSHS996Y).</t>
        </is>
      </c>
    </row>
    <row r="18">
      <c r="A18" s="25" t="inlineStr">
        <is>
          <t>1 Seasonal: do now</t>
        </is>
      </c>
      <c r="B18" s="26" t="inlineStr">
        <is>
          <t>NEED</t>
        </is>
      </c>
      <c r="C18" s="33" t="inlineStr">
        <is>
          <t>Heating</t>
        </is>
      </c>
      <c r="D18" s="28" t="inlineStr">
        <is>
          <t>Radiant heat panel, overhead, sized for a large enclosure or a heated shelter</t>
        </is>
      </c>
      <c r="E18" s="29" t="n">
        <v>3</v>
      </c>
      <c r="F18" s="28" t="inlineStr">
        <is>
          <t>Argentine tegu, Ball python, Sulcata tortoise</t>
        </is>
      </c>
      <c r="G18" s="28" t="inlineStr">
        <is>
          <t>Hub</t>
        </is>
      </c>
      <c r="H18" s="28" t="inlineStr"/>
      <c r="I18" s="29" t="inlineStr">
        <is>
          <t>Added to catalog</t>
        </is>
      </c>
      <c r="J18" s="28" t="inlineStr">
        <is>
          <t>Reptile Basics Radiant Heat Panel, 80W</t>
        </is>
      </c>
      <c r="K18" s="29" t="inlineStr">
        <is>
          <t>Amazon</t>
        </is>
      </c>
      <c r="L18" s="28" t="inlineStr">
        <is>
          <t>https://www.amazon.com/dp/B0190KNRK0</t>
        </is>
      </c>
      <c r="M18" s="30">
        <f>IF(ISNUMBER(SEARCH("/dp/",L18)),MID(L18,SEARCH("/dp/",L18)+4,10),"")</f>
        <v/>
      </c>
      <c r="N18" s="28" t="inlineStr">
        <is>
          <t>https://www.amazon.com/dp/B0190KNRK0?tag=beastlyfacts-20</t>
        </is>
      </c>
      <c r="O18" s="29" t="inlineStr">
        <is>
          <t>check</t>
        </is>
      </c>
      <c r="P18" s="31" t="n"/>
      <c r="Q18" s="29" t="inlineStr">
        <is>
          <t>No</t>
        </is>
      </c>
      <c r="R18" s="32" t="inlineStr">
        <is>
          <t>2026-09-28</t>
        </is>
      </c>
      <c r="S18" s="28" t="inlineStr">
        <is>
          <t>PHOTO NEEDED: product-271.jpg = Reptile Basics Radiant Heat Panel, 80W (amazon.com/dp/B0190KNRK0)
Catalog slug: radiant-heat-panel-reptile-basics-80w. Sourced 2026-09-28 from Amazon search results; price not visible from here. True overhead RHP. Alt: WARHP Wilbanks 220W (B0HGHMBPTD). Avoid B01N7G3CPP (28W bundled with disinfectant).</t>
        </is>
      </c>
    </row>
    <row r="19">
      <c r="A19" s="25" t="inlineStr">
        <is>
          <t>1 Seasonal: do now</t>
        </is>
      </c>
      <c r="B19" s="26" t="inlineStr">
        <is>
          <t>NEED</t>
        </is>
      </c>
      <c r="C19" s="33" t="inlineStr">
        <is>
          <t>Heating</t>
        </is>
      </c>
      <c r="D19" s="28" t="inlineStr">
        <is>
          <t>Halogen flood basking bulb, 75W, sold in multipacks for basking clusters</t>
        </is>
      </c>
      <c r="E19" s="29" t="n">
        <v>2</v>
      </c>
      <c r="F19" s="28" t="inlineStr">
        <is>
          <t>Green iguana, Sulcata tortoise</t>
        </is>
      </c>
      <c r="G19" s="28" t="inlineStr">
        <is>
          <t>Hub, Cost</t>
        </is>
      </c>
      <c r="H19" s="28" t="inlineStr">
        <is>
          <t>(hatchling row, two 75W halogens)</t>
        </is>
      </c>
      <c r="I19" s="29" t="inlineStr">
        <is>
          <t>Added to catalog</t>
        </is>
      </c>
      <c r="J19" s="28" t="inlineStr">
        <is>
          <t>Vinaco PAR30 Long Neck 75W Halogen Flood Bulbs, 6 Pack</t>
        </is>
      </c>
      <c r="K19" s="29" t="inlineStr">
        <is>
          <t>Amazon</t>
        </is>
      </c>
      <c r="L19" s="28" t="inlineStr">
        <is>
          <t>https://www.amazon.com/dp/B0CJ5HRGGV</t>
        </is>
      </c>
      <c r="M19" s="30">
        <f>IF(ISNUMBER(SEARCH("/dp/",L19)),MID(L19,SEARCH("/dp/",L19)+4,10),"")</f>
        <v/>
      </c>
      <c r="N19" s="28" t="inlineStr">
        <is>
          <t>https://www.amazon.com/dp/B0CJ5HRGGV?tag=beastlyfacts-20</t>
        </is>
      </c>
      <c r="O19" s="29" t="inlineStr">
        <is>
          <t>check</t>
        </is>
      </c>
      <c r="P19" s="31" t="n"/>
      <c r="Q19" s="29" t="inlineStr">
        <is>
          <t>No</t>
        </is>
      </c>
      <c r="R19" s="32" t="inlineStr">
        <is>
          <t>2026-09-28</t>
        </is>
      </c>
      <c r="S19" s="28" t="inlineStr">
        <is>
          <t>PHOTO NEEDED: product-272.jpg = Vinaco PAR30 Long Neck 75W Halogen Flood Bulbs, 6 Pack (amazon.com/dp/B0CJ5HRGGV)
Catalog slug: halogen-flood-vinaco-par30-75w-6pack. Sourced 2026-09-28 from Amazon search results; price not visible from here. Picked over Philips 419549 6-pack (B01MDM2PSL) because the Philips title says "75 Watt Equivalent", which may mean a lower real draw. Catalog already has Zoo Med Basking Spot Lamp 75W 2-pack (not halogen, unwired).</t>
        </is>
      </c>
    </row>
    <row r="20">
      <c r="A20" s="25" t="inlineStr">
        <is>
          <t>1 Seasonal: do now</t>
        </is>
      </c>
      <c r="B20" s="26" t="inlineStr">
        <is>
          <t>NEED</t>
        </is>
      </c>
      <c r="C20" s="33" t="inlineStr">
        <is>
          <t>Heating</t>
        </is>
      </c>
      <c r="D20" s="28" t="inlineStr">
        <is>
          <t>Floating pond de-icer, for keeping a hole open in winter</t>
        </is>
      </c>
      <c r="E20" s="29" t="n">
        <v>1</v>
      </c>
      <c r="F20" s="28" t="inlineStr">
        <is>
          <t>Koi</t>
        </is>
      </c>
      <c r="G20" s="28" t="inlineStr">
        <is>
          <t>Hub, Setup prose</t>
        </is>
      </c>
      <c r="H20" s="28" t="inlineStr"/>
      <c r="I20" s="29" t="inlineStr">
        <is>
          <t>Added to catalog</t>
        </is>
      </c>
      <c r="J20" s="28" t="inlineStr">
        <is>
          <t>K&amp;H Thermo-Pond 3.0 Floating Pond De-Icer, 100W</t>
        </is>
      </c>
      <c r="K20" s="29" t="inlineStr">
        <is>
          <t>Amazon</t>
        </is>
      </c>
      <c r="L20" s="28" t="inlineStr">
        <is>
          <t>https://www.amazon.com/dp/B000637NQU</t>
        </is>
      </c>
      <c r="M20" s="30">
        <f>IF(ISNUMBER(SEARCH("/dp/",L20)),MID(L20,SEARCH("/dp/",L20)+4,10),"")</f>
        <v/>
      </c>
      <c r="N20" s="28" t="inlineStr">
        <is>
          <t>https://www.amazon.com/dp/B000637NQU?tag=beastlyfacts-20</t>
        </is>
      </c>
      <c r="O20" s="29" t="inlineStr">
        <is>
          <t>check</t>
        </is>
      </c>
      <c r="P20" s="31" t="n"/>
      <c r="Q20" s="29" t="inlineStr">
        <is>
          <t>No</t>
        </is>
      </c>
      <c r="R20" s="32" t="inlineStr">
        <is>
          <t>2026-09-28</t>
        </is>
      </c>
      <c r="S20" s="28" t="inlineStr">
        <is>
          <t>PHOTO NEEDED: product-273.jpg = K&amp;H Thermo-Pond 3.0 Floating Pond De-Icer, 100W (amazon.com/dp/B000637NQU)
Catalog slug: pond-deicer-kh-thermo-pond-100w. Sourced 2026-09-28 from Amazon search results; price not visible from here. Rated for ponds up to 1,000 gal per listing snippet. Alt: TURBRO PD400A 400W (B0CHF46RK7), more power than needed.</t>
        </is>
      </c>
    </row>
    <row r="21">
      <c r="A21" s="25" t="inlineStr">
        <is>
          <t>1 Seasonal: do now</t>
        </is>
      </c>
      <c r="B21" s="26" t="inlineStr">
        <is>
          <t>NEED</t>
        </is>
      </c>
      <c r="C21" s="33" t="inlineStr">
        <is>
          <t>Heating</t>
        </is>
      </c>
      <c r="D21" s="28" t="inlineStr">
        <is>
          <t>Heat tape, reptile rack or under-enclosure style, run on a thermostat</t>
        </is>
      </c>
      <c r="E21" s="29" t="n">
        <v>1</v>
      </c>
      <c r="F21" s="28" t="inlineStr">
        <is>
          <t>Ball python</t>
        </is>
      </c>
      <c r="G21" s="28" t="inlineStr">
        <is>
          <t>Hub</t>
        </is>
      </c>
      <c r="H21" s="28" t="inlineStr"/>
      <c r="I21" s="29" t="inlineStr">
        <is>
          <t>Added to catalog</t>
        </is>
      </c>
      <c r="J21" s="28" t="inlineStr">
        <is>
          <t>Flexwatt Reptile Heat Tape, 6 in, 10 ft Roll</t>
        </is>
      </c>
      <c r="K21" s="29" t="inlineStr">
        <is>
          <t>Amazon</t>
        </is>
      </c>
      <c r="L21" s="28" t="inlineStr">
        <is>
          <t>https://www.amazon.com/dp/B07XSH1NC5</t>
        </is>
      </c>
      <c r="M21" s="30">
        <f>IF(ISNUMBER(SEARCH("/dp/",L21)),MID(L21,SEARCH("/dp/",L21)+4,10),"")</f>
        <v/>
      </c>
      <c r="N21" s="28" t="inlineStr">
        <is>
          <t>https://www.amazon.com/dp/B07XSH1NC5?tag=beastlyfacts-20</t>
        </is>
      </c>
      <c r="O21" s="29" t="inlineStr">
        <is>
          <t>check</t>
        </is>
      </c>
      <c r="P21" s="31" t="n"/>
      <c r="Q21" s="29" t="inlineStr">
        <is>
          <t>No</t>
        </is>
      </c>
      <c r="R21" s="32" t="inlineStr">
        <is>
          <t>2026-09-28</t>
        </is>
      </c>
      <c r="S21" s="28" t="inlineStr">
        <is>
          <t>PHOTO NEEDED: product-274.jpg = Flexwatt Reptile Heat Tape, 6 in, 10 ft Roll (amazon.com/dp/B07XSH1NC5)
Catalog slug: heat-tape-flexwatt-6in-10ft. Sourced 2026-09-28 from Amazon search results; price not visible from here. Needs a thermostat (catalog already has several). Several Flexwatt listings are sold by the foot. Alt: 11 in x 3 ft Flexwatt (B00BO0MKNA).</t>
        </is>
      </c>
    </row>
    <row r="22">
      <c r="A22" s="34" t="inlineStr">
        <is>
          <t>2 Wide reach</t>
        </is>
      </c>
      <c r="B22" s="26" t="inlineStr">
        <is>
          <t>NEED</t>
        </is>
      </c>
      <c r="C22" s="35" t="inlineStr">
        <is>
          <t>Lighting</t>
        </is>
      </c>
      <c r="D22" s="28" t="inlineStr">
        <is>
          <t>Plug-in outlet timer, mechanical or digital, for lights</t>
        </is>
      </c>
      <c r="E22" s="29" t="n">
        <v>15</v>
      </c>
      <c r="F22" s="28" t="inlineStr">
        <is>
          <t>Russian tortoise, Molly, Neon tetra, Ball python, Hognose snake, Betta, Discus, Swordtail, Axolotl, Red-eared slider, Green iguana, Leaf-tailed gecko, Rosy boa, Veiled chameleon, Jumping spider</t>
        </is>
      </c>
      <c r="G22" s="28" t="inlineStr">
        <is>
          <t>Hub, Cost, Setup prose</t>
        </is>
      </c>
      <c r="H22" s="28" t="inlineStr"/>
      <c r="I22" s="29" t="inlineStr">
        <is>
          <t>Added to catalog</t>
        </is>
      </c>
      <c r="J22" s="28" t="inlineStr">
        <is>
          <t>BN-LINK 24-Hour Mechanical Outlet Timer</t>
        </is>
      </c>
      <c r="K22" s="29" t="inlineStr">
        <is>
          <t>Amazon</t>
        </is>
      </c>
      <c r="L22" s="28" t="inlineStr">
        <is>
          <t>https://www.amazon.com/dp/B0D6VSDFH4</t>
        </is>
      </c>
      <c r="M22" s="30">
        <f>IF(ISNUMBER(SEARCH("/dp/",L22)),MID(L22,SEARCH("/dp/",L22)+4,10),"")</f>
        <v/>
      </c>
      <c r="N22" s="28" t="inlineStr">
        <is>
          <t>https://www.amazon.com/dp/B0D6VSDFH4?tag=beastlyfacts-20</t>
        </is>
      </c>
      <c r="O22" s="29" t="inlineStr">
        <is>
          <t>check</t>
        </is>
      </c>
      <c r="P22" s="31" t="n"/>
      <c r="Q22" s="29" t="inlineStr">
        <is>
          <t>No</t>
        </is>
      </c>
      <c r="R22" s="32" t="inlineStr">
        <is>
          <t>2026-09-28</t>
        </is>
      </c>
      <c r="S22" s="28" t="inlineStr">
        <is>
          <t>PHOTO NEEDED: product-275.jpg = BN-LINK 24-Hour Mechanical Outlet Timer (amazon.com/dp/B0D6VSDFH4)
Catalog slug: outlet-timer-bn-link-mechanical. Sourced 2026-09-28 from Amazon search results; price not visible from here. Alt: BN-LINK dual outlet mechanical timer (B00MVEMD76); 2-pack B074927BKZ.</t>
        </is>
      </c>
    </row>
    <row r="23">
      <c r="A23" s="34" t="inlineStr">
        <is>
          <t>2 Wide reach</t>
        </is>
      </c>
      <c r="B23" s="26" t="inlineStr">
        <is>
          <t>NEED</t>
        </is>
      </c>
      <c r="C23" s="36" t="inlineStr">
        <is>
          <t>Food and supplements</t>
        </is>
      </c>
      <c r="D23" s="28" t="inlineStr">
        <is>
          <t>Frozen or freeze-dried aquarium foods: bloodworms, brine shrimp, daphnia, mysis, krill</t>
        </is>
      </c>
      <c r="E23" s="29" t="n">
        <v>10</v>
      </c>
      <c r="F23" s="28" t="inlineStr">
        <is>
          <t>Angelfish, Betta, Cardinal tetra, Corydoras, Discus, Guppy, Neon tetra, Oscar, Platy, Zebra danio</t>
        </is>
      </c>
      <c r="G23" s="28" t="inlineStr">
        <is>
          <t>Hub</t>
        </is>
      </c>
      <c r="H23" s="28" t="inlineStr">
        <is>
          <t>(freeze-dried)</t>
        </is>
      </c>
      <c r="I23" s="29" t="inlineStr">
        <is>
          <t>Added to catalog</t>
        </is>
      </c>
      <c r="J23" s="28" t="inlineStr">
        <is>
          <t>Omega One Freeze Dried Blood Worms, 0.96 oz</t>
        </is>
      </c>
      <c r="K23" s="29" t="inlineStr">
        <is>
          <t>Amazon</t>
        </is>
      </c>
      <c r="L23" s="28" t="inlineStr">
        <is>
          <t>https://www.amazon.com/dp/B0037LWQZG</t>
        </is>
      </c>
      <c r="M23" s="30">
        <f>IF(ISNUMBER(SEARCH("/dp/",L23)),MID(L23,SEARCH("/dp/",L23)+4,10),"")</f>
        <v/>
      </c>
      <c r="N23" s="28" t="inlineStr">
        <is>
          <t>https://www.amazon.com/dp/B0037LWQZG?tag=beastlyfacts-20</t>
        </is>
      </c>
      <c r="O23" s="29" t="inlineStr">
        <is>
          <t>check</t>
        </is>
      </c>
      <c r="P23" s="31" t="n"/>
      <c r="Q23" s="29" t="inlineStr">
        <is>
          <t>No</t>
        </is>
      </c>
      <c r="R23" s="32" t="inlineStr">
        <is>
          <t>2026-09-28</t>
        </is>
      </c>
      <c r="S23" s="28" t="inlineStr">
        <is>
          <t>PHOTO NEEDED: product-276.jpg = Omega One Freeze Dried Blood Worms, 0.96 oz (amazon.com/dp/B0037LWQZG); product-277.jpg = Hikari Bio-Pure Freeze Dried Brine Shrimp, 0.42 oz (amazon.com/dp/B00025K1HK)
Catalog slug: freeze-dried-bloodworms-omega-one, freeze-dried-brine-shrimp-hikari. Also added: Hikari Bio-Pure Freeze Dried Brine Shrimp, 0.42 oz (https://www.amazon.com/dp/B00025K1HK). Sourced 2026-09-28 from Amazon search results; price not visible from here. Second pick: Hikari Bio-Pure Freeze Dried Brine Shrimp 0.42 oz (B00025K1HK). Daphnia: Hikari Bio-Pure FD Daphnia (B003WRG54I). Freeze-dried chosen because frozen does not ship well.</t>
        </is>
      </c>
    </row>
    <row r="24">
      <c r="A24" s="34" t="inlineStr">
        <is>
          <t>2 Wide reach</t>
        </is>
      </c>
      <c r="B24" s="26" t="inlineStr">
        <is>
          <t>NEED</t>
        </is>
      </c>
      <c r="C24" s="37" t="inlineStr">
        <is>
          <t>Substrate</t>
        </is>
      </c>
      <c r="D24" s="28" t="inlineStr">
        <is>
          <t>Leaf litter, dried oak or magnolia, reptile and invert safe</t>
        </is>
      </c>
      <c r="E24" s="29" t="n">
        <v>10</v>
      </c>
      <c r="F24" s="28" t="inlineStr">
        <is>
          <t>Tiger salamander, Tokay gecko, Green anole, Fire skink, Blue-tongue skink, Box turtle, Garter snake, Ball python, Giant millipede, Hissing cockroach</t>
        </is>
      </c>
      <c r="G24" s="28" t="inlineStr">
        <is>
          <t>Hub</t>
        </is>
      </c>
      <c r="H24" s="28" t="inlineStr"/>
      <c r="I24" s="29" t="inlineStr">
        <is>
          <t>Added to catalog</t>
        </is>
      </c>
      <c r="J24" s="28" t="inlineStr">
        <is>
          <t>Josh's Frogs Organic Magnolia Leaf Litter, 1 Gallon</t>
        </is>
      </c>
      <c r="K24" s="29" t="inlineStr">
        <is>
          <t>Amazon</t>
        </is>
      </c>
      <c r="L24" s="28" t="inlineStr">
        <is>
          <t>https://www.amazon.com/dp/B00U9ME3TI</t>
        </is>
      </c>
      <c r="M24" s="30">
        <f>IF(ISNUMBER(SEARCH("/dp/",L24)),MID(L24,SEARCH("/dp/",L24)+4,10),"")</f>
        <v/>
      </c>
      <c r="N24" s="28" t="inlineStr">
        <is>
          <t>https://www.amazon.com/dp/B00U9ME3TI?tag=beastlyfacts-20</t>
        </is>
      </c>
      <c r="O24" s="29" t="inlineStr">
        <is>
          <t>check</t>
        </is>
      </c>
      <c r="P24" s="31" t="n"/>
      <c r="Q24" s="29" t="inlineStr">
        <is>
          <t>No</t>
        </is>
      </c>
      <c r="R24" s="32" t="inlineStr">
        <is>
          <t>2026-09-28</t>
        </is>
      </c>
      <c r="S24" s="28" t="inlineStr">
        <is>
          <t>PHOTO NEEDED: product-278.jpg = Josh's Frogs Organic Magnolia Leaf Litter, 1 Gallon (amazon.com/dp/B00U9ME3TI)
Catalog slug: leaf-litter-joshs-frogs-magnolia. Sourced 2026-09-28 from Amazon search results; price not visible from here. Alt: Galapagos Magnolia Leaf Litter 4 qt (B087WJF92B). No oak listing found.</t>
        </is>
      </c>
    </row>
    <row r="25">
      <c r="A25" s="34" t="inlineStr">
        <is>
          <t>2 Wide reach</t>
        </is>
      </c>
      <c r="B25" s="26" t="inlineStr">
        <is>
          <t>NEED</t>
        </is>
      </c>
      <c r="C25" s="35" t="inlineStr">
        <is>
          <t>Lighting</t>
        </is>
      </c>
      <c r="D25" s="28" t="inlineStr">
        <is>
          <t>Aquarium LED light, low to moderate output, length matched to the tank (20 to 48 in)</t>
        </is>
      </c>
      <c r="E25" s="29" t="n">
        <v>9</v>
      </c>
      <c r="F25" s="28" t="inlineStr">
        <is>
          <t>Angelfish, Molly, Neon tetra, Betta, Guppy, Platy, Swordtail, Discus, Axolotl</t>
        </is>
      </c>
      <c r="G25" s="28" t="inlineStr">
        <is>
          <t>Hub, Setup prose</t>
        </is>
      </c>
      <c r="H25" s="28" t="inlineStr">
        <is>
          <t>(dim)</t>
        </is>
      </c>
      <c r="I25" s="29" t="inlineStr">
        <is>
          <t>Added to catalog</t>
        </is>
      </c>
      <c r="J25" s="28" t="inlineStr">
        <is>
          <t>NICREW ClassicLED Aquarium Light, 36 to 48 in</t>
        </is>
      </c>
      <c r="K25" s="29" t="inlineStr">
        <is>
          <t>Amazon</t>
        </is>
      </c>
      <c r="L25" s="28" t="inlineStr">
        <is>
          <t>https://www.amazon.com/dp/B07M6P6ZJD</t>
        </is>
      </c>
      <c r="M25" s="30">
        <f>IF(ISNUMBER(SEARCH("/dp/",L25)),MID(L25,SEARCH("/dp/",L25)+4,10),"")</f>
        <v/>
      </c>
      <c r="N25" s="28" t="inlineStr">
        <is>
          <t>https://www.amazon.com/dp/B07M6P6ZJD?tag=beastlyfacts-20</t>
        </is>
      </c>
      <c r="O25" s="29" t="inlineStr">
        <is>
          <t>check</t>
        </is>
      </c>
      <c r="P25" s="31" t="n"/>
      <c r="Q25" s="29" t="inlineStr">
        <is>
          <t>No</t>
        </is>
      </c>
      <c r="R25" s="32" t="inlineStr">
        <is>
          <t>2026-09-28</t>
        </is>
      </c>
      <c r="S25" s="28" t="inlineStr">
        <is>
          <t>PHOTO NEEDED: product-279.jpg = NICREW ClassicLED Aquarium Light, 36 to 48 in (amazon.com/dp/B07M6P6ZJD)
Catalog slug: aquarium-led-nicrew-classicled-36-48. Sourced 2026-09-28 from Amazon search results; price not visible from here. Size must match the tank. Same line: 28 to 36 in (B01C84SLRO). ClassicLED Plus: 18-24 in (B07F7391M2), 30-36 in (B07F6XD2FH), 48-54 in (B07KK6G8ZL).</t>
        </is>
      </c>
    </row>
    <row r="26">
      <c r="A26" s="34" t="inlineStr">
        <is>
          <t>2 Wide reach</t>
        </is>
      </c>
      <c r="B26" s="26" t="inlineStr">
        <is>
          <t>NEED</t>
        </is>
      </c>
      <c r="C26" s="27" t="inlineStr">
        <is>
          <t>Other</t>
        </is>
      </c>
      <c r="D26" s="28" t="inlineStr">
        <is>
          <t>Lidded plastic storage tub, about 30 to 60 qt, for dig boxes, laying bins and feeding containers</t>
        </is>
      </c>
      <c r="E26" s="29" t="n">
        <v>9</v>
      </c>
      <c r="F26" s="28" t="inlineStr">
        <is>
          <t>Blue-tongue skink, Rabbit, Rat, Ferret, Veiled chameleon, Hognose snake, Bearded dragon, Savannah monitor, Red-eared slider</t>
        </is>
      </c>
      <c r="G26" s="28" t="inlineStr">
        <is>
          <t>Hub, Cost, Setup prose</t>
        </is>
      </c>
      <c r="H26" s="28" t="inlineStr">
        <is>
          <t>(laying bin) (feeding container) (lay box, a deep tub about 1.5 to 2 times the dragon's length; the R2 reader fix could not price it without a product) (soaking) (nesting and brumation box)</t>
        </is>
      </c>
      <c r="I26" s="29" t="inlineStr">
        <is>
          <t>Added to catalog</t>
        </is>
      </c>
      <c r="J26" s="28" t="inlineStr">
        <is>
          <t>Sterilite 32 Qt Latching Storage Box</t>
        </is>
      </c>
      <c r="K26" s="29" t="inlineStr">
        <is>
          <t>Amazon</t>
        </is>
      </c>
      <c r="L26" s="28" t="inlineStr">
        <is>
          <t>https://www.amazon.com/dp/B07WD34M2Y</t>
        </is>
      </c>
      <c r="M26" s="30">
        <f>IF(ISNUMBER(SEARCH("/dp/",L26)),MID(L26,SEARCH("/dp/",L26)+4,10),"")</f>
        <v/>
      </c>
      <c r="N26" s="28" t="inlineStr">
        <is>
          <t>https://www.amazon.com/dp/B07WD34M2Y?tag=beastlyfacts-20</t>
        </is>
      </c>
      <c r="O26" s="29" t="inlineStr">
        <is>
          <t>check</t>
        </is>
      </c>
      <c r="P26" s="31" t="n"/>
      <c r="Q26" s="29" t="inlineStr">
        <is>
          <t>No</t>
        </is>
      </c>
      <c r="R26" s="32" t="inlineStr">
        <is>
          <t>2026-09-28</t>
        </is>
      </c>
      <c r="S26" s="28" t="inlineStr">
        <is>
          <t>PHOTO NEEDED: product-280.jpg = Sterilite 32 Qt Latching Storage Box (amazon.com/dp/B07WD34M2Y); product-281.jpg = Sterilite 56 Qt Storage Box (amazon.com/dp/B00C9MR9YM)
Catalog slug: storage-tub-sterilite-32qt-latching, storage-tub-sterilite-56qt. Also added: Sterilite 56 Qt Storage Box (https://www.amazon.com/dp/B00C9MR9YM). Sourced 2026-09-28 from Amazon search results; price not visible from here. Larger: Sterilite 16598008 56 Qt Storage Box (B00C9MR9YM). Latching 56 qt only found as an 8-pack (B084Z789LQ).</t>
        </is>
      </c>
    </row>
    <row r="27">
      <c r="A27" s="34" t="inlineStr">
        <is>
          <t>2 Wide reach</t>
        </is>
      </c>
      <c r="B27" s="26" t="inlineStr">
        <is>
          <t>NEED</t>
        </is>
      </c>
      <c r="C27" s="27" t="inlineStr">
        <is>
          <t>Other</t>
        </is>
      </c>
      <c r="D27" s="28" t="inlineStr">
        <is>
          <t>Plain unprinted paper cage liner, precut sheets or a butcher paper roll</t>
        </is>
      </c>
      <c r="E27" s="29" t="n">
        <v>9</v>
      </c>
      <c r="F27" s="28" t="inlineStr">
        <is>
          <t>Canary, Zebra finch, Parrotlet, Quaker parakeet, Conure, Green iguana, African grey, Cockatiel, Lovebird</t>
        </is>
      </c>
      <c r="G27" s="28" t="inlineStr">
        <is>
          <t>Hub, Setup prose</t>
        </is>
      </c>
      <c r="H27" s="28" t="inlineStr">
        <is>
          <t>(butcher paper)</t>
        </is>
      </c>
      <c r="I27" s="29" t="inlineStr">
        <is>
          <t>Added to catalog</t>
        </is>
      </c>
      <c r="J27" s="28" t="inlineStr">
        <is>
          <t>BirdCageLiners Pre-Cut Kraft Paper Sheets, 100 Pack</t>
        </is>
      </c>
      <c r="K27" s="29" t="inlineStr">
        <is>
          <t>Amazon</t>
        </is>
      </c>
      <c r="L27" s="28" t="inlineStr">
        <is>
          <t>https://www.amazon.com/dp/B00M4MXBHG</t>
        </is>
      </c>
      <c r="M27" s="30">
        <f>IF(ISNUMBER(SEARCH("/dp/",L27)),MID(L27,SEARCH("/dp/",L27)+4,10),"")</f>
        <v/>
      </c>
      <c r="N27" s="28" t="inlineStr">
        <is>
          <t>https://www.amazon.com/dp/B00M4MXBHG?tag=beastlyfacts-20</t>
        </is>
      </c>
      <c r="O27" s="29" t="inlineStr">
        <is>
          <t>check</t>
        </is>
      </c>
      <c r="P27" s="31" t="n"/>
      <c r="Q27" s="29" t="inlineStr">
        <is>
          <t>No</t>
        </is>
      </c>
      <c r="R27" s="32" t="inlineStr">
        <is>
          <t>2026-09-28</t>
        </is>
      </c>
      <c r="S27" s="28" t="inlineStr">
        <is>
          <t>PHOTO NEEDED: product-282.jpg = BirdCageLiners Pre-Cut Kraft Paper Sheets, 100 Pack (amazon.com/dp/B00M4MXBHG)
Catalog slug: cage-liner-birdcageliners-precut-kraft. Sourced 2026-09-28 from Amazon search results; price not visible from here. Snippet says no ink, dyes or wax. Roll alt: The Paper Factory brown butcher paper 17.75 in x 100 ft (B08D6W7DS3). Unprinted newsprint alt: VIOLETTO 120 sheets (B0GVJCGYNX).</t>
        </is>
      </c>
    </row>
    <row r="28">
      <c r="A28" s="34" t="inlineStr">
        <is>
          <t>2 Wide reach</t>
        </is>
      </c>
      <c r="B28" s="26" t="inlineStr">
        <is>
          <t>NEED</t>
        </is>
      </c>
      <c r="C28" s="27" t="inlineStr">
        <is>
          <t>Other</t>
        </is>
      </c>
      <c r="D28" s="28" t="inlineStr">
        <is>
          <t>Small-animal water bottle, glass or BPA-free, cage mount</t>
        </is>
      </c>
      <c r="E28" s="29" t="n">
        <v>9</v>
      </c>
      <c r="F28" s="28" t="inlineStr">
        <is>
          <t>Chinchilla, Degu, Gerbil, Rat, Ferret, Hamster, Guinea pig, Rabbit, Hedgehog</t>
        </is>
      </c>
      <c r="G28" s="28" t="inlineStr">
        <is>
          <t>Hub, Cost</t>
        </is>
      </c>
      <c r="H28" s="28" t="inlineStr"/>
      <c r="I28" s="29" t="inlineStr">
        <is>
          <t>Added to catalog</t>
        </is>
      </c>
      <c r="J28" s="28" t="inlineStr">
        <is>
          <t>LIXIT Chew Proof Glass Water Bottle, 16 oz</t>
        </is>
      </c>
      <c r="K28" s="29" t="inlineStr">
        <is>
          <t>Amazon</t>
        </is>
      </c>
      <c r="L28" s="28" t="inlineStr">
        <is>
          <t>https://www.amazon.com/dp/B0002QI5WM</t>
        </is>
      </c>
      <c r="M28" s="30">
        <f>IF(ISNUMBER(SEARCH("/dp/",L28)),MID(L28,SEARCH("/dp/",L28)+4,10),"")</f>
        <v/>
      </c>
      <c r="N28" s="28" t="inlineStr">
        <is>
          <t>https://www.amazon.com/dp/B0002QI5WM?tag=beastlyfacts-20</t>
        </is>
      </c>
      <c r="O28" s="29" t="inlineStr">
        <is>
          <t>check</t>
        </is>
      </c>
      <c r="P28" s="31" t="n"/>
      <c r="Q28" s="29" t="inlineStr">
        <is>
          <t>No</t>
        </is>
      </c>
      <c r="R28" s="32" t="inlineStr">
        <is>
          <t>2026-09-28</t>
        </is>
      </c>
      <c r="S28" s="28" t="inlineStr">
        <is>
          <t>PHOTO NEEDED: product-283.jpg = LIXIT Chew Proof Glass Water Bottle, 16 oz (amazon.com/dp/B0002QI5WM)
Catalog slug: water-bottle-lixit-glass-16oz. Sourced 2026-09-28 from Amazon search results; price not visible from here. Alt: Exotic Nutrition hanging glass bottle 12 oz (B0763P4H2L), good for smaller rodents.</t>
        </is>
      </c>
    </row>
    <row r="29">
      <c r="A29" s="34" t="inlineStr">
        <is>
          <t>2 Wide reach</t>
        </is>
      </c>
      <c r="B29" s="26" t="inlineStr">
        <is>
          <t>NEED</t>
        </is>
      </c>
      <c r="C29" s="37" t="inlineStr">
        <is>
          <t>Substrate</t>
        </is>
      </c>
      <c r="D29" s="28" t="inlineStr">
        <is>
          <t>Organic topsoil, fertilizer and pesticide free, bulk bag</t>
        </is>
      </c>
      <c r="E29" s="29" t="n">
        <v>9</v>
      </c>
      <c r="F29" s="28" t="inlineStr">
        <is>
          <t>African fat-tail gecko, Tiger salamander, Blue-tongue skink, Fire skink, Green anole, Box turtle, Sulcata tortoise, Savannah monitor, Uromastyx</t>
        </is>
      </c>
      <c r="G29" s="28" t="inlineStr">
        <is>
          <t>Hub, Cost</t>
        </is>
      </c>
      <c r="H29" s="28" t="inlineStr"/>
      <c r="I29" s="29" t="inlineStr">
        <is>
          <t>Added to catalog</t>
        </is>
      </c>
      <c r="J29" s="28" t="inlineStr">
        <is>
          <t>Michigan Peat Garden Magic Top Soil Blend, 40 lb</t>
        </is>
      </c>
      <c r="K29" s="29" t="inlineStr">
        <is>
          <t>Amazon</t>
        </is>
      </c>
      <c r="L29" s="28" t="inlineStr">
        <is>
          <t>https://www.amazon.com/dp/B000GQ4KX6</t>
        </is>
      </c>
      <c r="M29" s="30">
        <f>IF(ISNUMBER(SEARCH("/dp/",L29)),MID(L29,SEARCH("/dp/",L29)+4,10),"")</f>
        <v/>
      </c>
      <c r="N29" s="28" t="inlineStr">
        <is>
          <t>https://www.amazon.com/dp/B000GQ4KX6?tag=beastlyfacts-20</t>
        </is>
      </c>
      <c r="O29" s="29" t="inlineStr">
        <is>
          <t>$28.99 (seen 09-28)</t>
        </is>
      </c>
      <c r="P29" s="31" t="n"/>
      <c r="Q29" s="29" t="inlineStr">
        <is>
          <t>No</t>
        </is>
      </c>
      <c r="R29" s="32" t="inlineStr">
        <is>
          <t>2026-09-28</t>
        </is>
      </c>
      <c r="S29" s="28" t="inlineStr">
        <is>
          <t>PHOTO NEEDED: product-284.jpg = Michigan Peat Garden Magic Top Soil Blend, 40 lb (amazon.com/dp/B000GQ4KX6)
Catalog slug: topsoil-michigan-peat-garden-magic-40lb. Owner pick, replaces the earlier ReptiSoil suggestion.</t>
        </is>
      </c>
    </row>
    <row r="30">
      <c r="A30" s="34" t="inlineStr">
        <is>
          <t>2 Wide reach</t>
        </is>
      </c>
      <c r="B30" s="26" t="inlineStr">
        <is>
          <t>NEED</t>
        </is>
      </c>
      <c r="C30" s="36" t="inlineStr">
        <is>
          <t>Food and supplements</t>
        </is>
      </c>
      <c r="D30" s="28" t="inlineStr">
        <is>
          <t>Plain calcium powder, phosphorus free, no D3</t>
        </is>
      </c>
      <c r="E30" s="29" t="n">
        <v>8</v>
      </c>
      <c r="F30" s="28" t="inlineStr">
        <is>
          <t>African fat-tail gecko, Leopard gecko, Bearded dragon, Gargoyle gecko, Argentine tegu, Savannah monitor, Veiled chameleon, Flying squirrel</t>
        </is>
      </c>
      <c r="G30" s="28" t="inlineStr">
        <is>
          <t>Hub</t>
        </is>
      </c>
      <c r="H30" s="28" t="inlineStr"/>
      <c r="I30" s="29" t="inlineStr">
        <is>
          <t>Added to catalog</t>
        </is>
      </c>
      <c r="J30" s="28" t="inlineStr">
        <is>
          <t>Zoo Med Reptile Calcium without Vitamin D3, 8 oz</t>
        </is>
      </c>
      <c r="K30" s="29" t="inlineStr">
        <is>
          <t>Amazon</t>
        </is>
      </c>
      <c r="L30" s="28" t="inlineStr">
        <is>
          <t>https://www.amazon.com/dp/B000UJPHL8</t>
        </is>
      </c>
      <c r="M30" s="30">
        <f>IF(ISNUMBER(SEARCH("/dp/",L30)),MID(L30,SEARCH("/dp/",L30)+4,10),"")</f>
        <v/>
      </c>
      <c r="N30" s="28" t="inlineStr">
        <is>
          <t>https://www.amazon.com/dp/B000UJPHL8?tag=beastlyfacts-20</t>
        </is>
      </c>
      <c r="O30" s="29" t="inlineStr">
        <is>
          <t>check</t>
        </is>
      </c>
      <c r="P30" s="31" t="n"/>
      <c r="Q30" s="29" t="inlineStr">
        <is>
          <t>No</t>
        </is>
      </c>
      <c r="R30" s="32" t="inlineStr">
        <is>
          <t>2026-09-28</t>
        </is>
      </c>
      <c r="S30" s="28" t="inlineStr">
        <is>
          <t>PHOTO NEEDED: product-285.jpg = Zoo Med Reptile Calcium without Vitamin D3, 8 oz (amazon.com/dp/B000UJPHL8)
Catalog slug: calcium-zoo-med-without-d3. Sourced 2026-09-28 from Amazon search results; price not visible from here. Title confirmed on the product page. Alt: Rep-Cal Phosphorus-Free Calcium without D3, 4.1 oz (B00BS96GLE).</t>
        </is>
      </c>
    </row>
    <row r="31">
      <c r="A31" s="34" t="inlineStr">
        <is>
          <t>2 Wide reach</t>
        </is>
      </c>
      <c r="B31" s="26" t="inlineStr">
        <is>
          <t>NEED</t>
        </is>
      </c>
      <c r="C31" s="38" t="inlineStr">
        <is>
          <t>Enclosures and cages</t>
        </is>
      </c>
      <c r="D31" s="28" t="inlineStr">
        <is>
          <t>40-gallon breeder tank, 36x18x16 in</t>
        </is>
      </c>
      <c r="E31" s="29" t="n">
        <v>7</v>
      </c>
      <c r="F31" s="28" t="inlineStr">
        <is>
          <t>Axolotl, African fat-tail gecko, Gerbil, Giant millipede, Corn snake, Garter snake, Hermit crab</t>
        </is>
      </c>
      <c r="G31" s="28" t="inlineStr">
        <is>
          <t>Hub, Cost</t>
        </is>
      </c>
      <c r="H31" s="28" t="inlineStr">
        <is>
          <t>(pair) (20 to 40 gal group tank)</t>
        </is>
      </c>
      <c r="I31" s="29" t="inlineStr">
        <is>
          <t>Added to catalog</t>
        </is>
      </c>
      <c r="J31" s="28" t="inlineStr">
        <is>
          <t>Aqueon 40 Gallon Breeder Tank, 36x18x16 in</t>
        </is>
      </c>
      <c r="K31" s="29" t="inlineStr">
        <is>
          <t>Amazon</t>
        </is>
      </c>
      <c r="L31" s="28" t="inlineStr">
        <is>
          <t>https://www.amazon.com/dp/B0002AS23U</t>
        </is>
      </c>
      <c r="M31" s="30">
        <f>IF(ISNUMBER(SEARCH("/dp/",L31)),MID(L31,SEARCH("/dp/",L31)+4,10),"")</f>
        <v/>
      </c>
      <c r="N31" s="28" t="inlineStr">
        <is>
          <t>https://www.amazon.com/dp/B0002AS23U?tag=beastlyfacts-20</t>
        </is>
      </c>
      <c r="O31" s="29" t="inlineStr">
        <is>
          <t>check</t>
        </is>
      </c>
      <c r="P31" s="31" t="n"/>
      <c r="Q31" s="29" t="inlineStr">
        <is>
          <t>No</t>
        </is>
      </c>
      <c r="R31" s="32" t="inlineStr">
        <is>
          <t>2026-09-28</t>
        </is>
      </c>
      <c r="S31" s="28" t="inlineStr">
        <is>
          <t>PHOTO NEEDED: product-286.jpg = Aqueon 40 Gallon Breeder Tank, 36x18x16 in (amazon.com/dp/B0002AS23U)
Catalog slug: tank-aqueon-40-breeder. Sourced 2026-09-28 from Amazon search results; price not visible from here. Alt: Perfecto 40 gal breeder 36x18x16 (B004HSULOG). Big tanks sometimes ship poorly; check availability.</t>
        </is>
      </c>
    </row>
    <row r="32">
      <c r="A32" s="34" t="inlineStr">
        <is>
          <t>2 Wide reach</t>
        </is>
      </c>
      <c r="B32" s="26" t="inlineStr">
        <is>
          <t>NEED</t>
        </is>
      </c>
      <c r="C32" s="27" t="inlineStr">
        <is>
          <t>Other</t>
        </is>
      </c>
      <c r="D32" s="28" t="inlineStr">
        <is>
          <t>Breathable bird cage cover, sized to the cage</t>
        </is>
      </c>
      <c r="E32" s="29" t="n">
        <v>7</v>
      </c>
      <c r="F32" s="28" t="inlineStr">
        <is>
          <t>Budgie, Canary, Cockatiel, Lovebird, Parrotlet, Quaker parakeet, Conure</t>
        </is>
      </c>
      <c r="G32" s="28" t="inlineStr">
        <is>
          <t>Hub, Cost</t>
        </is>
      </c>
      <c r="H32" s="28" t="inlineStr"/>
      <c r="I32" s="29" t="inlineStr">
        <is>
          <t>Added to catalog</t>
        </is>
      </c>
      <c r="J32" s="28" t="inlineStr">
        <is>
          <t>Prevue Universal Bird Cage Cover, Medium</t>
        </is>
      </c>
      <c r="K32" s="29" t="inlineStr">
        <is>
          <t>Amazon</t>
        </is>
      </c>
      <c r="L32" s="28" t="inlineStr">
        <is>
          <t>https://www.amazon.com/dp/B0002AQ5YS</t>
        </is>
      </c>
      <c r="M32" s="30">
        <f>IF(ISNUMBER(SEARCH("/dp/",L32)),MID(L32,SEARCH("/dp/",L32)+4,10),"")</f>
        <v/>
      </c>
      <c r="N32" s="28" t="inlineStr">
        <is>
          <t>https://www.amazon.com/dp/B0002AQ5YS?tag=beastlyfacts-20</t>
        </is>
      </c>
      <c r="O32" s="29" t="inlineStr">
        <is>
          <t>check</t>
        </is>
      </c>
      <c r="P32" s="31" t="n"/>
      <c r="Q32" s="29" t="inlineStr">
        <is>
          <t>No</t>
        </is>
      </c>
      <c r="R32" s="32" t="inlineStr">
        <is>
          <t>2026-09-28</t>
        </is>
      </c>
      <c r="S32" s="28" t="inlineStr">
        <is>
          <t>PHOTO NEEDED: product-287.jpg = Prevue Universal Bird Cage Cover, Medium (amazon.com/dp/B0002AQ5YS)
Catalog slug: cage-cover-prevue-universal-medium. Sourced 2026-09-28 from Amazon search results; price not visible from here. Medium fits cages up to 20x20x29 in. Larger: Prevue Good Night cover (B0002AQ5ZC), title says both Extra Large and Large, check the size.</t>
        </is>
      </c>
    </row>
    <row r="33">
      <c r="A33" s="34" t="inlineStr">
        <is>
          <t>2 Wide reach</t>
        </is>
      </c>
      <c r="B33" s="39" t="inlineStr">
        <is>
          <t>COULD</t>
        </is>
      </c>
      <c r="C33" s="40" t="inlineStr">
        <is>
          <t>Health and first aid</t>
        </is>
      </c>
      <c r="D33" s="28" t="inlineStr">
        <is>
          <t>Veterinary reptile-safe disinfectant (F10SC class), used at full contact time</t>
        </is>
      </c>
      <c r="E33" s="29" t="n">
        <v>8</v>
      </c>
      <c r="F33" s="28" t="inlineStr">
        <is>
          <t>Argentine tegu, Blue-tongue skink, California kingsnake, Fire skink, Green iguana, Hognose snake, Milk snake, Tokay gecko</t>
        </is>
      </c>
      <c r="G33" s="28" t="inlineStr">
        <is>
          <t>Setup prose</t>
        </is>
      </c>
      <c r="H33" s="28" t="inlineStr"/>
      <c r="I33" s="29" t="inlineStr">
        <is>
          <t>Added to catalog</t>
        </is>
      </c>
      <c r="J33" s="28" t="inlineStr">
        <is>
          <t>F10SC Veterinary Disinfectant Concentrate, 1 L</t>
        </is>
      </c>
      <c r="K33" s="29" t="inlineStr">
        <is>
          <t>Amazon</t>
        </is>
      </c>
      <c r="L33" s="28" t="inlineStr">
        <is>
          <t>https://www.amazon.com/dp/B00S7J7N4C</t>
        </is>
      </c>
      <c r="M33" s="30">
        <f>IF(ISNUMBER(SEARCH("/dp/",L33)),MID(L33,SEARCH("/dp/",L33)+4,10),"")</f>
        <v/>
      </c>
      <c r="N33" s="28" t="inlineStr">
        <is>
          <t>https://www.amazon.com/dp/B00S7J7N4C?tag=beastlyfacts-20</t>
        </is>
      </c>
      <c r="O33" s="29" t="inlineStr">
        <is>
          <t>check</t>
        </is>
      </c>
      <c r="P33" s="31" t="n"/>
      <c r="Q33" s="29" t="inlineStr">
        <is>
          <t>No</t>
        </is>
      </c>
      <c r="R33" s="32" t="inlineStr">
        <is>
          <t>2026-09-28</t>
        </is>
      </c>
      <c r="S33" s="28" t="inlineStr">
        <is>
          <t>PHOTO NEEDED: product-288.jpg = F10SC Veterinary Disinfectant Concentrate, 1 L (amazon.com/dp/B00S7J7N4C)
Catalog slug: disinfectant-f10sc-concentrate-1l. Sourced 2026-09-28 from Amazon search results; price not visible from here. Title confirmed on the product page. Smaller: 200 ml (B00ECJ5NIY). Do not use F10SCXD listings (with detergent).</t>
        </is>
      </c>
    </row>
    <row r="34">
      <c r="A34" s="41" t="inlineStr">
        <is>
          <t>3 Repeat purchase</t>
        </is>
      </c>
      <c r="B34" s="26" t="inlineStr">
        <is>
          <t>NEED</t>
        </is>
      </c>
      <c r="C34" s="37" t="inlineStr">
        <is>
          <t>Substrate</t>
        </is>
      </c>
      <c r="D34" s="28" t="inlineStr">
        <is>
          <t>Peat moss, unfertilized</t>
        </is>
      </c>
      <c r="E34" s="29" t="n">
        <v>5</v>
      </c>
      <c r="F34" s="28" t="inlineStr">
        <is>
          <t>Emperor scorpion, Hissing cockroach, Stick insect, Tarantula, Red-footed tortoise</t>
        </is>
      </c>
      <c r="G34" s="28" t="inlineStr">
        <is>
          <t>Hub</t>
        </is>
      </c>
      <c r="H34" s="28" t="inlineStr"/>
      <c r="I34" s="29" t="inlineStr">
        <is>
          <t>Added to catalog</t>
        </is>
      </c>
      <c r="J34" s="28" t="inlineStr">
        <is>
          <t>Espoma Organic Sphagnum Peat Moss</t>
        </is>
      </c>
      <c r="K34" s="29" t="inlineStr">
        <is>
          <t>Amazon</t>
        </is>
      </c>
      <c r="L34" s="28" t="inlineStr">
        <is>
          <t>https://www.amazon.com/dp/B0037AP20I</t>
        </is>
      </c>
      <c r="M34" s="30">
        <f>IF(ISNUMBER(SEARCH("/dp/",L34)),MID(L34,SEARCH("/dp/",L34)+4,10),"")</f>
        <v/>
      </c>
      <c r="N34" s="28" t="inlineStr">
        <is>
          <t>https://www.amazon.com/dp/B0037AP20I?tag=beastlyfacts-20</t>
        </is>
      </c>
      <c r="O34" s="29" t="inlineStr">
        <is>
          <t>check</t>
        </is>
      </c>
      <c r="P34" s="31" t="n"/>
      <c r="Q34" s="29" t="inlineStr">
        <is>
          <t>No</t>
        </is>
      </c>
      <c r="R34" s="32" t="inlineStr">
        <is>
          <t>2026-09-28</t>
        </is>
      </c>
      <c r="S34" s="28" t="inlineStr">
        <is>
          <t>PHOTO NEEDED: product-289.jpg = Espoma Organic Sphagnum Peat Moss (amazon.com/dp/B0037AP20I)
Catalog slug: peat-moss-espoma-organic.</t>
        </is>
      </c>
    </row>
    <row r="35">
      <c r="A35" s="41" t="inlineStr">
        <is>
          <t>3 Repeat purchase</t>
        </is>
      </c>
      <c r="B35" s="26" t="inlineStr">
        <is>
          <t>NEED</t>
        </is>
      </c>
      <c r="C35" s="36" t="inlineStr">
        <is>
          <t>Food and supplements</t>
        </is>
      </c>
      <c r="D35" s="28" t="inlineStr">
        <is>
          <t>Alternative grass hays: orchard grass, meadow, Bermuda</t>
        </is>
      </c>
      <c r="E35" s="29" t="n">
        <v>4</v>
      </c>
      <c r="F35" s="28" t="inlineStr">
        <is>
          <t>Chinchilla, Degu, Rabbit, Sulcata tortoise</t>
        </is>
      </c>
      <c r="G35" s="28" t="inlineStr">
        <is>
          <t>Hub, Cost</t>
        </is>
      </c>
      <c r="H35" s="28" t="inlineStr">
        <is>
          <t>(Bermuda)</t>
        </is>
      </c>
      <c r="I35" s="29" t="inlineStr">
        <is>
          <t>Added to catalog</t>
        </is>
      </c>
      <c r="J35" s="28" t="inlineStr">
        <is>
          <t>Oxbow Orchard Grass Hay, 40 oz</t>
        </is>
      </c>
      <c r="K35" s="29" t="inlineStr">
        <is>
          <t>Amazon</t>
        </is>
      </c>
      <c r="L35" s="28" t="inlineStr">
        <is>
          <t>https://www.amazon.com/dp/B000WFKP80</t>
        </is>
      </c>
      <c r="M35" s="30">
        <f>IF(ISNUMBER(SEARCH("/dp/",L35)),MID(L35,SEARCH("/dp/",L35)+4,10),"")</f>
        <v/>
      </c>
      <c r="N35" s="28" t="inlineStr">
        <is>
          <t>https://www.amazon.com/dp/B000WFKP80?tag=beastlyfacts-20</t>
        </is>
      </c>
      <c r="O35" s="29" t="inlineStr">
        <is>
          <t>check</t>
        </is>
      </c>
      <c r="P35" s="31" t="n"/>
      <c r="Q35" s="29" t="inlineStr">
        <is>
          <t>No</t>
        </is>
      </c>
      <c r="R35" s="32" t="inlineStr">
        <is>
          <t>2026-09-28</t>
        </is>
      </c>
      <c r="S35" s="28" t="inlineStr">
        <is>
          <t>PHOTO NEEDED: product-290.jpg = Oxbow Orchard Grass Hay, 40 oz (amazon.com/dp/B000WFKP80)
Catalog slug: hay-oxbow-orchard-40oz.</t>
        </is>
      </c>
    </row>
    <row r="36">
      <c r="A36" s="41" t="inlineStr">
        <is>
          <t>3 Repeat purchase</t>
        </is>
      </c>
      <c r="B36" s="26" t="inlineStr">
        <is>
          <t>NEED</t>
        </is>
      </c>
      <c r="C36" s="27" t="inlineStr">
        <is>
          <t>Other</t>
        </is>
      </c>
      <c r="D36" s="28" t="inlineStr">
        <is>
          <t>Plain paper nesting material, unscented, no cotton fluff</t>
        </is>
      </c>
      <c r="E36" s="29" t="n">
        <v>4</v>
      </c>
      <c r="F36" s="28" t="inlineStr">
        <is>
          <t>Mouse, Rat, Gerbil, Hamster</t>
        </is>
      </c>
      <c r="G36" s="28" t="inlineStr">
        <is>
          <t>Hub, Setup prose</t>
        </is>
      </c>
      <c r="H36" s="28" t="inlineStr"/>
      <c r="I36" s="29" t="inlineStr">
        <is>
          <t>Added to catalog</t>
        </is>
      </c>
      <c r="J36" s="28" t="inlineStr">
        <is>
          <t>Kaytee Clean &amp; Cozy Paper Bedding, White, 49.2 L</t>
        </is>
      </c>
      <c r="K36" s="29" t="inlineStr">
        <is>
          <t>Amazon</t>
        </is>
      </c>
      <c r="L36" s="28" t="inlineStr">
        <is>
          <t>https://www.amazon.com/dp/B007R6G8JW</t>
        </is>
      </c>
      <c r="M36" s="30">
        <f>IF(ISNUMBER(SEARCH("/dp/",L36)),MID(L36,SEARCH("/dp/",L36)+4,10),"")</f>
        <v/>
      </c>
      <c r="N36" s="28" t="inlineStr">
        <is>
          <t>https://www.amazon.com/dp/B007R6G8JW?tag=beastlyfacts-20</t>
        </is>
      </c>
      <c r="O36" s="29" t="inlineStr">
        <is>
          <t>check</t>
        </is>
      </c>
      <c r="P36" s="31" t="n"/>
      <c r="Q36" s="29" t="inlineStr">
        <is>
          <t>No</t>
        </is>
      </c>
      <c r="R36" s="32" t="inlineStr">
        <is>
          <t>2026-09-28</t>
        </is>
      </c>
      <c r="S36" s="28" t="inlineStr">
        <is>
          <t>PHOTO NEEDED: product-291.jpg = Kaytee Clean &amp; Cozy Paper Bedding, White, 49.2 L (amazon.com/dp/B007R6G8JW)
Catalog slug: bedding-kaytee-clean-cozy-white.</t>
        </is>
      </c>
    </row>
    <row r="37">
      <c r="A37" s="41" t="inlineStr">
        <is>
          <t>3 Repeat purchase</t>
        </is>
      </c>
      <c r="B37" s="26" t="inlineStr">
        <is>
          <t>NEED</t>
        </is>
      </c>
      <c r="C37" s="36" t="inlineStr">
        <is>
          <t>Food and supplements</t>
        </is>
      </c>
      <c r="D37" s="28" t="inlineStr">
        <is>
          <t>Spirulina or vegetable-rich flake for livebearers</t>
        </is>
      </c>
      <c r="E37" s="29" t="n">
        <v>3</v>
      </c>
      <c r="F37" s="28" t="inlineStr">
        <is>
          <t>Molly, Platy, Swordtail</t>
        </is>
      </c>
      <c r="G37" s="28" t="inlineStr">
        <is>
          <t>Hub, Cost</t>
        </is>
      </c>
      <c r="H37" s="28" t="inlineStr"/>
      <c r="I37" s="29" t="inlineStr">
        <is>
          <t>Added to catalog</t>
        </is>
      </c>
      <c r="J37" s="28" t="inlineStr">
        <is>
          <t>Omega One Veggie Kelp Flakes, 2.2 oz</t>
        </is>
      </c>
      <c r="K37" s="29" t="inlineStr">
        <is>
          <t>Amazon</t>
        </is>
      </c>
      <c r="L37" s="28" t="inlineStr">
        <is>
          <t>https://www.amazon.com/dp/B0046HIG7W</t>
        </is>
      </c>
      <c r="M37" s="30">
        <f>IF(ISNUMBER(SEARCH("/dp/",L37)),MID(L37,SEARCH("/dp/",L37)+4,10),"")</f>
        <v/>
      </c>
      <c r="N37" s="28" t="inlineStr">
        <is>
          <t>https://www.amazon.com/dp/B0046HIG7W?tag=beastlyfacts-20</t>
        </is>
      </c>
      <c r="O37" s="29" t="inlineStr">
        <is>
          <t>check</t>
        </is>
      </c>
      <c r="P37" s="31" t="n"/>
      <c r="Q37" s="29" t="inlineStr">
        <is>
          <t>No</t>
        </is>
      </c>
      <c r="R37" s="32" t="inlineStr">
        <is>
          <t>2026-09-28</t>
        </is>
      </c>
      <c r="S37" s="28" t="inlineStr">
        <is>
          <t>PHOTO NEEDED: product-292.jpg = Omega One Veggie Kelp Flakes, 2.2 oz (amazon.com/dp/B0046HIG7W)
Catalog slug: fish-food-omega-one-veggie-kelp-flakes.</t>
        </is>
      </c>
    </row>
    <row r="38">
      <c r="A38" s="41" t="inlineStr">
        <is>
          <t>3 Repeat purchase</t>
        </is>
      </c>
      <c r="B38" s="26" t="inlineStr">
        <is>
          <t>NEED</t>
        </is>
      </c>
      <c r="C38" s="27" t="inlineStr">
        <is>
          <t>Other</t>
        </is>
      </c>
      <c r="D38" s="28" t="inlineStr">
        <is>
          <t>Crushed coral or a commercial buffering product for soft tap water</t>
        </is>
      </c>
      <c r="E38" s="29" t="n">
        <v>3</v>
      </c>
      <c r="F38" s="28" t="inlineStr">
        <is>
          <t>Molly, Platy, Swordtail</t>
        </is>
      </c>
      <c r="G38" s="28" t="inlineStr">
        <is>
          <t>Hub, Setup prose</t>
        </is>
      </c>
      <c r="H38" s="28" t="inlineStr"/>
      <c r="I38" s="29" t="inlineStr">
        <is>
          <t>Added to catalog</t>
        </is>
      </c>
      <c r="J38" s="28" t="inlineStr">
        <is>
          <t>CaribSea Crushed Coral, 10 lb</t>
        </is>
      </c>
      <c r="K38" s="29" t="inlineStr">
        <is>
          <t>Amazon</t>
        </is>
      </c>
      <c r="L38" s="28" t="inlineStr">
        <is>
          <t>https://www.amazon.com/dp/B000ELY1YQ</t>
        </is>
      </c>
      <c r="M38" s="30">
        <f>IF(ISNUMBER(SEARCH("/dp/",L38)),MID(L38,SEARCH("/dp/",L38)+4,10),"")</f>
        <v/>
      </c>
      <c r="N38" s="28" t="inlineStr">
        <is>
          <t>https://www.amazon.com/dp/B000ELY1YQ?tag=beastlyfacts-20</t>
        </is>
      </c>
      <c r="O38" s="29" t="inlineStr">
        <is>
          <t>check</t>
        </is>
      </c>
      <c r="P38" s="31" t="n"/>
      <c r="Q38" s="29" t="inlineStr">
        <is>
          <t>No</t>
        </is>
      </c>
      <c r="R38" s="32" t="inlineStr">
        <is>
          <t>2026-09-28</t>
        </is>
      </c>
      <c r="S38" s="28" t="inlineStr">
        <is>
          <t>PHOTO NEEDED: product-293.jpg = CaribSea Crushed Coral, 10 lb (amazon.com/dp/B000ELY1YQ)
Catalog slug: crushed-coral-caribsea-10lb.</t>
        </is>
      </c>
    </row>
    <row r="39">
      <c r="A39" s="41" t="inlineStr">
        <is>
          <t>3 Repeat purchase</t>
        </is>
      </c>
      <c r="B39" s="26" t="inlineStr">
        <is>
          <t>NEED</t>
        </is>
      </c>
      <c r="C39" s="27" t="inlineStr">
        <is>
          <t>Other</t>
        </is>
      </c>
      <c r="D39" s="28" t="inlineStr">
        <is>
          <t>Indian almond leaves (catappa)</t>
        </is>
      </c>
      <c r="E39" s="29" t="n">
        <v>3</v>
      </c>
      <c r="F39" s="28" t="inlineStr">
        <is>
          <t>Cardinal tetra, Neon tetra, Cherry shrimp</t>
        </is>
      </c>
      <c r="G39" s="28" t="inlineStr">
        <is>
          <t>Hub</t>
        </is>
      </c>
      <c r="H39" s="28" t="inlineStr"/>
      <c r="I39" s="29" t="inlineStr">
        <is>
          <t>Added to catalog</t>
        </is>
      </c>
      <c r="J39" s="28" t="inlineStr">
        <is>
          <t>SunGrow Indian Almond Leaves (Catappa), 50 Pack</t>
        </is>
      </c>
      <c r="K39" s="29" t="inlineStr">
        <is>
          <t>Amazon</t>
        </is>
      </c>
      <c r="L39" s="28" t="inlineStr">
        <is>
          <t>https://www.amazon.com/dp/B01G78H5XS</t>
        </is>
      </c>
      <c r="M39" s="30">
        <f>IF(ISNUMBER(SEARCH("/dp/",L39)),MID(L39,SEARCH("/dp/",L39)+4,10),"")</f>
        <v/>
      </c>
      <c r="N39" s="28" t="inlineStr">
        <is>
          <t>https://www.amazon.com/dp/B01G78H5XS?tag=beastlyfacts-20</t>
        </is>
      </c>
      <c r="O39" s="29" t="inlineStr">
        <is>
          <t>check</t>
        </is>
      </c>
      <c r="P39" s="31" t="n"/>
      <c r="Q39" s="29" t="inlineStr">
        <is>
          <t>No</t>
        </is>
      </c>
      <c r="R39" s="32" t="inlineStr">
        <is>
          <t>2026-09-28</t>
        </is>
      </c>
      <c r="S39" s="28" t="inlineStr">
        <is>
          <t>PHOTO NEEDED: product-294.jpg = SunGrow Indian Almond Leaves (Catappa), 50 Pack (amazon.com/dp/B01G78H5XS)
Catalog slug: catappa-leaves-sungrow-50.</t>
        </is>
      </c>
    </row>
    <row r="40">
      <c r="A40" s="41" t="inlineStr">
        <is>
          <t>3 Repeat purchase</t>
        </is>
      </c>
      <c r="B40" s="26" t="inlineStr">
        <is>
          <t>NEED</t>
        </is>
      </c>
      <c r="C40" s="27" t="inlineStr">
        <is>
          <t>Other</t>
        </is>
      </c>
      <c r="D40" s="28" t="inlineStr">
        <is>
          <t>Shrimp remineralizer, GH and KH (plus a GH-only version for tap with some hardness)</t>
        </is>
      </c>
      <c r="E40" s="29" t="n">
        <v>3</v>
      </c>
      <c r="F40" s="28" t="inlineStr">
        <is>
          <t>Amano shrimp, Cherry shrimp, Discus</t>
        </is>
      </c>
      <c r="G40" s="28" t="inlineStr">
        <is>
          <t>Hub, Setup prose</t>
        </is>
      </c>
      <c r="H40" s="28" t="inlineStr"/>
      <c r="I40" s="29" t="inlineStr">
        <is>
          <t>Added to catalog</t>
        </is>
      </c>
      <c r="J40" s="28" t="inlineStr">
        <is>
          <t>Salty Shrimp Mineral GH/KH+, 200 g</t>
        </is>
      </c>
      <c r="K40" s="29" t="inlineStr">
        <is>
          <t>Amazon</t>
        </is>
      </c>
      <c r="L40" s="28" t="inlineStr">
        <is>
          <t>https://www.amazon.com/dp/B00HZLUGSI</t>
        </is>
      </c>
      <c r="M40" s="30">
        <f>IF(ISNUMBER(SEARCH("/dp/",L40)),MID(L40,SEARCH("/dp/",L40)+4,10),"")</f>
        <v/>
      </c>
      <c r="N40" s="28" t="inlineStr">
        <is>
          <t>https://www.amazon.com/dp/B00HZLUGSI?tag=beastlyfacts-20</t>
        </is>
      </c>
      <c r="O40" s="29" t="inlineStr">
        <is>
          <t>check</t>
        </is>
      </c>
      <c r="P40" s="31" t="n"/>
      <c r="Q40" s="29" t="inlineStr">
        <is>
          <t>No</t>
        </is>
      </c>
      <c r="R40" s="32" t="inlineStr">
        <is>
          <t>2026-09-28</t>
        </is>
      </c>
      <c r="S40" s="28" t="inlineStr">
        <is>
          <t>PHOTO NEEDED: product-295.jpg = Salty Shrimp Mineral GH/KH+, 200 g (amazon.com/dp/B00HZLUGSI); product-296.jpg = Salty Shrimp Bee Shrimp Mineral GH+, 110 g (amazon.com/dp/B06Y5M7CGB)
Catalog slug: shrimp-mineral-salty-shrimp-gh-kh, shrimp-mineral-salty-shrimp-gh. Also added: Salty Shrimp Bee Shrimp Mineral GH+, 110 g (https://www.amazon.com/dp/B06Y5M7CGB).</t>
        </is>
      </c>
    </row>
    <row r="41">
      <c r="A41" s="41" t="inlineStr">
        <is>
          <t>3 Repeat purchase</t>
        </is>
      </c>
      <c r="B41" s="26" t="inlineStr">
        <is>
          <t>NEED</t>
        </is>
      </c>
      <c r="C41" s="36" t="inlineStr">
        <is>
          <t>Food and supplements</t>
        </is>
      </c>
      <c r="D41" s="28" t="inlineStr">
        <is>
          <t>Adult rat or rodent lab block</t>
        </is>
      </c>
      <c r="E41" s="29" t="n">
        <v>2</v>
      </c>
      <c r="F41" s="28" t="inlineStr">
        <is>
          <t>Rat, Flying squirrel</t>
        </is>
      </c>
      <c r="G41" s="28" t="inlineStr">
        <is>
          <t>Hub, Cost</t>
        </is>
      </c>
      <c r="H41" s="28" t="inlineStr"/>
      <c r="I41" s="29" t="inlineStr">
        <is>
          <t>Added to catalog</t>
        </is>
      </c>
      <c r="J41" s="28" t="inlineStr">
        <is>
          <t>Mazuri Rat &amp; Mouse Diet Lab Blocks, 2 lb</t>
        </is>
      </c>
      <c r="K41" s="29" t="inlineStr">
        <is>
          <t>Amazon</t>
        </is>
      </c>
      <c r="L41" s="28" t="inlineStr">
        <is>
          <t>https://www.amazon.com/dp/B00JR8K8DA</t>
        </is>
      </c>
      <c r="M41" s="30">
        <f>IF(ISNUMBER(SEARCH("/dp/",L41)),MID(L41,SEARCH("/dp/",L41)+4,10),"")</f>
        <v/>
      </c>
      <c r="N41" s="28" t="inlineStr">
        <is>
          <t>https://www.amazon.com/dp/B00JR8K8DA?tag=beastlyfacts-20</t>
        </is>
      </c>
      <c r="O41" s="29" t="inlineStr">
        <is>
          <t>check</t>
        </is>
      </c>
      <c r="P41" s="31" t="n"/>
      <c r="Q41" s="29" t="inlineStr">
        <is>
          <t>No</t>
        </is>
      </c>
      <c r="R41" s="32" t="inlineStr">
        <is>
          <t>2026-09-28</t>
        </is>
      </c>
      <c r="S41" s="28" t="inlineStr">
        <is>
          <t>PHOTO NEEDED: product-297.jpg = Mazuri Rat &amp; Mouse Diet Lab Blocks, 2 lb (amazon.com/dp/B00JR8K8DA)
Catalog slug: rat-block-mazuri-2lb.</t>
        </is>
      </c>
    </row>
    <row r="42">
      <c r="A42" s="41" t="inlineStr">
        <is>
          <t>3 Repeat purchase</t>
        </is>
      </c>
      <c r="B42" s="26" t="inlineStr">
        <is>
          <t>NEED</t>
        </is>
      </c>
      <c r="C42" s="36" t="inlineStr">
        <is>
          <t>Food and supplements</t>
        </is>
      </c>
      <c r="D42" s="28" t="inlineStr">
        <is>
          <t>Crushed oyster shell, calcium source</t>
        </is>
      </c>
      <c r="E42" s="29" t="n">
        <v>2</v>
      </c>
      <c r="F42" s="28" t="inlineStr">
        <is>
          <t>Giant millipede, Sulcata tortoise</t>
        </is>
      </c>
      <c r="G42" s="28" t="inlineStr">
        <is>
          <t>Hub</t>
        </is>
      </c>
      <c r="H42" s="28" t="inlineStr"/>
      <c r="I42" s="29" t="inlineStr">
        <is>
          <t>Added to catalog</t>
        </is>
      </c>
      <c r="J42" s="28" t="inlineStr">
        <is>
          <t>Manna Pro Crushed Oyster Shell, 5 lb</t>
        </is>
      </c>
      <c r="K42" s="29" t="inlineStr">
        <is>
          <t>Amazon</t>
        </is>
      </c>
      <c r="L42" s="28" t="inlineStr">
        <is>
          <t>https://www.amazon.com/dp/B000MD59TC</t>
        </is>
      </c>
      <c r="M42" s="30">
        <f>IF(ISNUMBER(SEARCH("/dp/",L42)),MID(L42,SEARCH("/dp/",L42)+4,10),"")</f>
        <v/>
      </c>
      <c r="N42" s="28" t="inlineStr">
        <is>
          <t>https://www.amazon.com/dp/B000MD59TC?tag=beastlyfacts-20</t>
        </is>
      </c>
      <c r="O42" s="29" t="inlineStr">
        <is>
          <t>check</t>
        </is>
      </c>
      <c r="P42" s="31" t="n"/>
      <c r="Q42" s="29" t="inlineStr">
        <is>
          <t>No</t>
        </is>
      </c>
      <c r="R42" s="32" t="inlineStr">
        <is>
          <t>2026-09-28</t>
        </is>
      </c>
      <c r="S42" s="28" t="inlineStr">
        <is>
          <t>PHOTO NEEDED: product-298.jpg = Manna Pro Crushed Oyster Shell, 5 lb (amazon.com/dp/B000MD59TC)
Catalog slug: oyster-shell-manna-pro-5lb.</t>
        </is>
      </c>
    </row>
    <row r="43">
      <c r="A43" s="41" t="inlineStr">
        <is>
          <t>3 Repeat purchase</t>
        </is>
      </c>
      <c r="B43" s="26" t="inlineStr">
        <is>
          <t>NEED</t>
        </is>
      </c>
      <c r="C43" s="36" t="inlineStr">
        <is>
          <t>Food and supplements</t>
        </is>
      </c>
      <c r="D43" s="28" t="inlineStr">
        <is>
          <t>Egg food for finches and canaries</t>
        </is>
      </c>
      <c r="E43" s="29" t="n">
        <v>2</v>
      </c>
      <c r="F43" s="28" t="inlineStr">
        <is>
          <t>Canary, Zebra finch</t>
        </is>
      </c>
      <c r="G43" s="28" t="inlineStr">
        <is>
          <t>Hub</t>
        </is>
      </c>
      <c r="H43" s="28" t="inlineStr"/>
      <c r="I43" s="29" t="inlineStr">
        <is>
          <t>Added to catalog</t>
        </is>
      </c>
      <c r="J43" s="28" t="inlineStr">
        <is>
          <t>Higgins Protein Egg Food, 5 oz (3 Pack)</t>
        </is>
      </c>
      <c r="K43" s="29" t="inlineStr">
        <is>
          <t>Amazon</t>
        </is>
      </c>
      <c r="L43" s="28" t="inlineStr">
        <is>
          <t>https://www.amazon.com/dp/B07P9VFYVW</t>
        </is>
      </c>
      <c r="M43" s="30">
        <f>IF(ISNUMBER(SEARCH("/dp/",L43)),MID(L43,SEARCH("/dp/",L43)+4,10),"")</f>
        <v/>
      </c>
      <c r="N43" s="28" t="inlineStr">
        <is>
          <t>https://www.amazon.com/dp/B07P9VFYVW?tag=beastlyfacts-20</t>
        </is>
      </c>
      <c r="O43" s="29" t="inlineStr">
        <is>
          <t>check</t>
        </is>
      </c>
      <c r="P43" s="31" t="n"/>
      <c r="Q43" s="29" t="inlineStr">
        <is>
          <t>No</t>
        </is>
      </c>
      <c r="R43" s="32" t="inlineStr">
        <is>
          <t>2026-09-28</t>
        </is>
      </c>
      <c r="S43" s="28" t="inlineStr">
        <is>
          <t>PHOTO NEEDED: product-299.jpg = Higgins Protein Egg Food, 5 oz (3 Pack) (amazon.com/dp/B07P9VFYVW)
Catalog slug: egg-food-higgins-3pack.</t>
        </is>
      </c>
    </row>
    <row r="44">
      <c r="A44" s="41" t="inlineStr">
        <is>
          <t>3 Repeat purchase</t>
        </is>
      </c>
      <c r="B44" s="26" t="inlineStr">
        <is>
          <t>NEED</t>
        </is>
      </c>
      <c r="C44" s="36" t="inlineStr">
        <is>
          <t>Food and supplements</t>
        </is>
      </c>
      <c r="D44" s="28" t="inlineStr">
        <is>
          <t>Reptile multivitamin with preformed (true) vitamin A, not beta carotene only</t>
        </is>
      </c>
      <c r="E44" s="29" t="n">
        <v>2</v>
      </c>
      <c r="F44" s="28" t="inlineStr">
        <is>
          <t>Ackie monitor, Veiled chameleon</t>
        </is>
      </c>
      <c r="G44" s="28" t="inlineStr">
        <is>
          <t>Hub</t>
        </is>
      </c>
      <c r="H44" s="28" t="inlineStr"/>
      <c r="I44" s="29" t="inlineStr">
        <is>
          <t>Added to catalog</t>
        </is>
      </c>
      <c r="J44" s="28" t="inlineStr">
        <is>
          <t>Repashy SuperFoods Vitamin A Plus, 3 oz</t>
        </is>
      </c>
      <c r="K44" s="29" t="inlineStr">
        <is>
          <t>Amazon</t>
        </is>
      </c>
      <c r="L44" s="28" t="inlineStr">
        <is>
          <t>https://www.amazon.com/dp/B0D6D8XYLV</t>
        </is>
      </c>
      <c r="M44" s="30">
        <f>IF(ISNUMBER(SEARCH("/dp/",L44)),MID(L44,SEARCH("/dp/",L44)+4,10),"")</f>
        <v/>
      </c>
      <c r="N44" s="28" t="inlineStr">
        <is>
          <t>https://www.amazon.com/dp/B0D6D8XYLV?tag=beastlyfacts-20</t>
        </is>
      </c>
      <c r="O44" s="29" t="inlineStr">
        <is>
          <t>check</t>
        </is>
      </c>
      <c r="P44" s="31" t="n"/>
      <c r="Q44" s="29" t="inlineStr">
        <is>
          <t>No</t>
        </is>
      </c>
      <c r="R44" s="32" t="inlineStr">
        <is>
          <t>2026-09-28</t>
        </is>
      </c>
      <c r="S44" s="28" t="inlineStr">
        <is>
          <t>PHOTO NEEDED: product-301.jpg = Repashy SuperFoods Vitamin A Plus, 3 oz (amazon.com/dp/B0D6D8XYLV)
Catalog slug: vitamin-repashy-vitamin-a-plus.</t>
        </is>
      </c>
    </row>
    <row r="45">
      <c r="A45" s="41" t="inlineStr">
        <is>
          <t>3 Repeat purchase</t>
        </is>
      </c>
      <c r="B45" s="26" t="inlineStr">
        <is>
          <t>NEED</t>
        </is>
      </c>
      <c r="C45" s="37" t="inlineStr">
        <is>
          <t>Substrate</t>
        </is>
      </c>
      <c r="D45" s="28" t="inlineStr">
        <is>
          <t>Compressed wood-pellet or paper-pellet litter</t>
        </is>
      </c>
      <c r="E45" s="29" t="n">
        <v>2</v>
      </c>
      <c r="F45" s="28" t="inlineStr">
        <is>
          <t>Rabbit, Ferret</t>
        </is>
      </c>
      <c r="G45" s="28" t="inlineStr">
        <is>
          <t>Hub</t>
        </is>
      </c>
      <c r="H45" s="28" t="inlineStr"/>
      <c r="I45" s="29" t="inlineStr">
        <is>
          <t>Added to catalog</t>
        </is>
      </c>
      <c r="J45" s="28" t="inlineStr">
        <is>
          <t>Oxbow Eco Straw Pelleted Litter, 20 lb</t>
        </is>
      </c>
      <c r="K45" s="29" t="inlineStr">
        <is>
          <t>Amazon</t>
        </is>
      </c>
      <c r="L45" s="28" t="inlineStr">
        <is>
          <t>https://www.amazon.com/dp/B0017JGBAQ</t>
        </is>
      </c>
      <c r="M45" s="30">
        <f>IF(ISNUMBER(SEARCH("/dp/",L45)),MID(L45,SEARCH("/dp/",L45)+4,10),"")</f>
        <v/>
      </c>
      <c r="N45" s="28" t="inlineStr">
        <is>
          <t>https://www.amazon.com/dp/B0017JGBAQ?tag=beastlyfacts-20</t>
        </is>
      </c>
      <c r="O45" s="29" t="inlineStr">
        <is>
          <t>check</t>
        </is>
      </c>
      <c r="P45" s="31" t="n"/>
      <c r="Q45" s="29" t="inlineStr">
        <is>
          <t>No</t>
        </is>
      </c>
      <c r="R45" s="32" t="inlineStr">
        <is>
          <t>2026-09-28</t>
        </is>
      </c>
      <c r="S45" s="28" t="inlineStr">
        <is>
          <t>PHOTO NEEDED: product-302.jpg = Oxbow Eco Straw Pelleted Litter, 20 lb (amazon.com/dp/B0017JGBAQ)
Catalog slug: litter-oxbow-eco-straw-20lb.</t>
        </is>
      </c>
    </row>
    <row r="46">
      <c r="A46" s="41" t="inlineStr">
        <is>
          <t>3 Repeat purchase</t>
        </is>
      </c>
      <c r="B46" s="26" t="inlineStr">
        <is>
          <t>NEED</t>
        </is>
      </c>
      <c r="C46" s="36" t="inlineStr">
        <is>
          <t>Food and supplements</t>
        </is>
      </c>
      <c r="D46" s="28" t="inlineStr">
        <is>
          <t>Betta-specific pellets</t>
        </is>
      </c>
      <c r="E46" s="29" t="n">
        <v>1</v>
      </c>
      <c r="F46" s="28" t="inlineStr">
        <is>
          <t>Betta</t>
        </is>
      </c>
      <c r="G46" s="28" t="inlineStr">
        <is>
          <t>Hub</t>
        </is>
      </c>
      <c r="H46" s="28" t="inlineStr"/>
      <c r="I46" s="29" t="inlineStr">
        <is>
          <t>Added to catalog</t>
        </is>
      </c>
      <c r="J46" s="28" t="inlineStr">
        <is>
          <t>Hikari Betta Bio-Gold, 0.70 oz</t>
        </is>
      </c>
      <c r="K46" s="29" t="inlineStr">
        <is>
          <t>Amazon</t>
        </is>
      </c>
      <c r="L46" s="28" t="inlineStr">
        <is>
          <t>https://www.amazon.com/dp/B00025Z74C</t>
        </is>
      </c>
      <c r="M46" s="30">
        <f>IF(ISNUMBER(SEARCH("/dp/",L46)),MID(L46,SEARCH("/dp/",L46)+4,10),"")</f>
        <v/>
      </c>
      <c r="N46" s="28" t="inlineStr">
        <is>
          <t>https://www.amazon.com/dp/B00025Z74C?tag=beastlyfacts-20</t>
        </is>
      </c>
      <c r="O46" s="29" t="inlineStr">
        <is>
          <t>check</t>
        </is>
      </c>
      <c r="P46" s="31" t="n"/>
      <c r="Q46" s="29" t="inlineStr">
        <is>
          <t>No</t>
        </is>
      </c>
      <c r="R46" s="32" t="inlineStr">
        <is>
          <t>2026-09-28</t>
        </is>
      </c>
      <c r="S46" s="28" t="inlineStr">
        <is>
          <t>PHOTO NEEDED: product-303.jpg = Hikari Betta Bio-Gold, 0.70 oz (amazon.com/dp/B00025Z74C)
Catalog slug: betta-food-hikari-bio-gold.</t>
        </is>
      </c>
    </row>
    <row r="47">
      <c r="A47" s="41" t="inlineStr">
        <is>
          <t>3 Repeat purchase</t>
        </is>
      </c>
      <c r="B47" s="26" t="inlineStr">
        <is>
          <t>NEED</t>
        </is>
      </c>
      <c r="C47" s="36" t="inlineStr">
        <is>
          <t>Food and supplements</t>
        </is>
      </c>
      <c r="D47" s="28" t="inlineStr">
        <is>
          <t>Commercial hermit crab food</t>
        </is>
      </c>
      <c r="E47" s="29" t="n">
        <v>1</v>
      </c>
      <c r="F47" s="28" t="inlineStr">
        <is>
          <t>Hermit crab</t>
        </is>
      </c>
      <c r="G47" s="28" t="inlineStr">
        <is>
          <t>Hub</t>
        </is>
      </c>
      <c r="H47" s="28" t="inlineStr"/>
      <c r="I47" s="29" t="inlineStr">
        <is>
          <t>Added to catalog</t>
        </is>
      </c>
      <c r="J47" s="28" t="inlineStr">
        <is>
          <t>Zoo Med Hermit Crab Food</t>
        </is>
      </c>
      <c r="K47" s="29" t="inlineStr">
        <is>
          <t>Amazon</t>
        </is>
      </c>
      <c r="L47" s="28" t="inlineStr">
        <is>
          <t>https://www.amazon.com/dp/B00027ZVDM</t>
        </is>
      </c>
      <c r="M47" s="30">
        <f>IF(ISNUMBER(SEARCH("/dp/",L47)),MID(L47,SEARCH("/dp/",L47)+4,10),"")</f>
        <v/>
      </c>
      <c r="N47" s="28" t="inlineStr">
        <is>
          <t>https://www.amazon.com/dp/B00027ZVDM?tag=beastlyfacts-20</t>
        </is>
      </c>
      <c r="O47" s="29" t="inlineStr">
        <is>
          <t>check</t>
        </is>
      </c>
      <c r="P47" s="31" t="n"/>
      <c r="Q47" s="29" t="inlineStr">
        <is>
          <t>No</t>
        </is>
      </c>
      <c r="R47" s="32" t="inlineStr">
        <is>
          <t>2026-09-28</t>
        </is>
      </c>
      <c r="S47" s="28" t="inlineStr">
        <is>
          <t>PHOTO NEEDED: product-304.jpg = Zoo Med Hermit Crab Food (amazon.com/dp/B00027ZVDM)
Catalog slug: hermit-crab-food-zoo-med.</t>
        </is>
      </c>
    </row>
    <row r="48">
      <c r="A48" s="41" t="inlineStr">
        <is>
          <t>3 Repeat purchase</t>
        </is>
      </c>
      <c r="B48" s="26" t="inlineStr">
        <is>
          <t>NEED</t>
        </is>
      </c>
      <c r="C48" s="36" t="inlineStr">
        <is>
          <t>Food and supplements</t>
        </is>
      </c>
      <c r="D48" s="28" t="inlineStr">
        <is>
          <t>Commercial roach chow</t>
        </is>
      </c>
      <c r="E48" s="29" t="n">
        <v>1</v>
      </c>
      <c r="F48" s="28" t="inlineStr">
        <is>
          <t>Hissing cockroach</t>
        </is>
      </c>
      <c r="G48" s="28" t="inlineStr">
        <is>
          <t>Hub</t>
        </is>
      </c>
      <c r="H48" s="28" t="inlineStr"/>
      <c r="I48" s="29" t="inlineStr">
        <is>
          <t>Added to catalog</t>
        </is>
      </c>
      <c r="J48" s="28" t="inlineStr">
        <is>
          <t>Josh's Frogs Roach Rations, 1 Gallon</t>
        </is>
      </c>
      <c r="K48" s="29" t="inlineStr">
        <is>
          <t>Amazon</t>
        </is>
      </c>
      <c r="L48" s="28" t="inlineStr">
        <is>
          <t>https://www.amazon.com/dp/B01MZH5FFU</t>
        </is>
      </c>
      <c r="M48" s="30">
        <f>IF(ISNUMBER(SEARCH("/dp/",L48)),MID(L48,SEARCH("/dp/",L48)+4,10),"")</f>
        <v/>
      </c>
      <c r="N48" s="28" t="inlineStr">
        <is>
          <t>https://www.amazon.com/dp/B01MZH5FFU?tag=beastlyfacts-20</t>
        </is>
      </c>
      <c r="O48" s="29" t="inlineStr">
        <is>
          <t>check</t>
        </is>
      </c>
      <c r="P48" s="31" t="n"/>
      <c r="Q48" s="29" t="inlineStr">
        <is>
          <t>No</t>
        </is>
      </c>
      <c r="R48" s="32" t="inlineStr">
        <is>
          <t>2026-09-28</t>
        </is>
      </c>
      <c r="S48" s="28" t="inlineStr">
        <is>
          <t>PHOTO NEEDED: product-305.jpg = Josh's Frogs Roach Rations, 1 Gallon (amazon.com/dp/B01MZH5FFU)
Catalog slug: roach-food-joshs-frogs-roach-rations.</t>
        </is>
      </c>
    </row>
    <row r="49">
      <c r="A49" s="41" t="inlineStr">
        <is>
          <t>3 Repeat purchase</t>
        </is>
      </c>
      <c r="B49" s="26" t="inlineStr">
        <is>
          <t>NEED</t>
        </is>
      </c>
      <c r="C49" s="36" t="inlineStr">
        <is>
          <t>Food and supplements</t>
        </is>
      </c>
      <c r="D49" s="28" t="inlineStr">
        <is>
          <t>Discus-formulated pellet or granule, small size</t>
        </is>
      </c>
      <c r="E49" s="29" t="n">
        <v>1</v>
      </c>
      <c r="F49" s="28" t="inlineStr">
        <is>
          <t>Discus</t>
        </is>
      </c>
      <c r="G49" s="28" t="inlineStr">
        <is>
          <t>Hub, Cost</t>
        </is>
      </c>
      <c r="H49" s="28" t="inlineStr"/>
      <c r="I49" s="29" t="inlineStr">
        <is>
          <t>Added to catalog</t>
        </is>
      </c>
      <c r="J49" s="28" t="inlineStr">
        <is>
          <t>Hikari Discus Bio-Gold, 2.82 oz</t>
        </is>
      </c>
      <c r="K49" s="29" t="inlineStr">
        <is>
          <t>Amazon</t>
        </is>
      </c>
      <c r="L49" s="28" t="inlineStr">
        <is>
          <t>https://www.amazon.com/dp/B00025JZBS</t>
        </is>
      </c>
      <c r="M49" s="30">
        <f>IF(ISNUMBER(SEARCH("/dp/",L49)),MID(L49,SEARCH("/dp/",L49)+4,10),"")</f>
        <v/>
      </c>
      <c r="N49" s="28" t="inlineStr">
        <is>
          <t>https://www.amazon.com/dp/B00025JZBS?tag=beastlyfacts-20</t>
        </is>
      </c>
      <c r="O49" s="29" t="inlineStr">
        <is>
          <t>check</t>
        </is>
      </c>
      <c r="P49" s="31" t="n"/>
      <c r="Q49" s="29" t="inlineStr">
        <is>
          <t>No</t>
        </is>
      </c>
      <c r="R49" s="32" t="inlineStr">
        <is>
          <t>2026-09-28</t>
        </is>
      </c>
      <c r="S49" s="28" t="inlineStr">
        <is>
          <t>PHOTO NEEDED: product-306.jpg = Hikari Discus Bio-Gold, 2.82 oz (amazon.com/dp/B00025JZBS)
Catalog slug: discus-food-hikari-bio-gold.</t>
        </is>
      </c>
    </row>
    <row r="50">
      <c r="A50" s="41" t="inlineStr">
        <is>
          <t>3 Repeat purchase</t>
        </is>
      </c>
      <c r="B50" s="26" t="inlineStr">
        <is>
          <t>NEED</t>
        </is>
      </c>
      <c r="C50" s="36" t="inlineStr">
        <is>
          <t>Food and supplements</t>
        </is>
      </c>
      <c r="D50" s="28" t="inlineStr">
        <is>
          <t>Finch seed mix, millet and canary seed based</t>
        </is>
      </c>
      <c r="E50" s="29" t="n">
        <v>1</v>
      </c>
      <c r="F50" s="28" t="inlineStr">
        <is>
          <t>Zebra finch</t>
        </is>
      </c>
      <c r="G50" s="28" t="inlineStr">
        <is>
          <t>Hub</t>
        </is>
      </c>
      <c r="H50" s="28" t="inlineStr"/>
      <c r="I50" s="29" t="inlineStr">
        <is>
          <t>Added to catalog</t>
        </is>
      </c>
      <c r="J50" s="28" t="inlineStr">
        <is>
          <t>Higgins Vita Seed Finch Food, 25 lb</t>
        </is>
      </c>
      <c r="K50" s="29" t="inlineStr">
        <is>
          <t>Amazon</t>
        </is>
      </c>
      <c r="L50" s="28" t="inlineStr">
        <is>
          <t>https://www.amazon.com/dp/B00E1JOYEY</t>
        </is>
      </c>
      <c r="M50" s="30">
        <f>IF(ISNUMBER(SEARCH("/dp/",L50)),MID(L50,SEARCH("/dp/",L50)+4,10),"")</f>
        <v/>
      </c>
      <c r="N50" s="28" t="inlineStr">
        <is>
          <t>https://www.amazon.com/dp/B00E1JOYEY?tag=beastlyfacts-20</t>
        </is>
      </c>
      <c r="O50" s="29" t="inlineStr">
        <is>
          <t>check</t>
        </is>
      </c>
      <c r="P50" s="31" t="n"/>
      <c r="Q50" s="29" t="inlineStr">
        <is>
          <t>No</t>
        </is>
      </c>
      <c r="R50" s="32" t="inlineStr">
        <is>
          <t>2026-09-28</t>
        </is>
      </c>
      <c r="S50" s="28" t="inlineStr">
        <is>
          <t>PHOTO NEEDED: product-300.jpg = Higgins Vita Seed Finch Food, 25 lb (amazon.com/dp/B00E1JOYEY)
Catalog slug: finch-seed-higgins-vita-25lb.</t>
        </is>
      </c>
    </row>
    <row r="51">
      <c r="A51" s="41" t="inlineStr">
        <is>
          <t>3 Repeat purchase</t>
        </is>
      </c>
      <c r="B51" s="26" t="inlineStr">
        <is>
          <t>NEED</t>
        </is>
      </c>
      <c r="C51" s="36" t="inlineStr">
        <is>
          <t>Food and supplements</t>
        </is>
      </c>
      <c r="D51" s="28" t="inlineStr">
        <is>
          <t>Guinea pig pellets, timothy based, vitamin C fortified</t>
        </is>
      </c>
      <c r="E51" s="29" t="n">
        <v>1</v>
      </c>
      <c r="F51" s="28" t="inlineStr">
        <is>
          <t>Guinea pig</t>
        </is>
      </c>
      <c r="G51" s="28" t="inlineStr">
        <is>
          <t>Hub</t>
        </is>
      </c>
      <c r="H51" s="28" t="inlineStr"/>
      <c r="I51" s="29" t="inlineStr">
        <is>
          <t>Added to catalog</t>
        </is>
      </c>
      <c r="J51" s="28" t="inlineStr">
        <is>
          <t>Oxbow Essentials Adult Guinea Pig Food, 10 lb</t>
        </is>
      </c>
      <c r="K51" s="29" t="inlineStr">
        <is>
          <t>Amazon</t>
        </is>
      </c>
      <c r="L51" s="28" t="inlineStr">
        <is>
          <t>https://www.amazon.com/dp/B0017JFIDC</t>
        </is>
      </c>
      <c r="M51" s="30">
        <f>IF(ISNUMBER(SEARCH("/dp/",L51)),MID(L51,SEARCH("/dp/",L51)+4,10),"")</f>
        <v/>
      </c>
      <c r="N51" s="28" t="inlineStr">
        <is>
          <t>https://www.amazon.com/dp/B0017JFIDC?tag=beastlyfacts-20</t>
        </is>
      </c>
      <c r="O51" s="29" t="inlineStr">
        <is>
          <t>check</t>
        </is>
      </c>
      <c r="P51" s="31" t="n"/>
      <c r="Q51" s="29" t="inlineStr">
        <is>
          <t>No</t>
        </is>
      </c>
      <c r="R51" s="32" t="inlineStr">
        <is>
          <t>2026-09-28</t>
        </is>
      </c>
      <c r="S51" s="28" t="inlineStr">
        <is>
          <t>PHOTO NEEDED: product-307.jpg = Oxbow Essentials Adult Guinea Pig Food, 10 lb (amazon.com/dp/B0017JFIDC)
Catalog slug: guinea-pig-food-oxbow-essentials-adult.</t>
        </is>
      </c>
    </row>
    <row r="52">
      <c r="A52" s="41" t="inlineStr">
        <is>
          <t>3 Repeat purchase</t>
        </is>
      </c>
      <c r="B52" s="26" t="inlineStr">
        <is>
          <t>NEED</t>
        </is>
      </c>
      <c r="C52" s="36" t="inlineStr">
        <is>
          <t>Food and supplements</t>
        </is>
      </c>
      <c r="D52" s="28" t="inlineStr">
        <is>
          <t>Hedgehog-formulated dry food</t>
        </is>
      </c>
      <c r="E52" s="29" t="n">
        <v>1</v>
      </c>
      <c r="F52" s="28" t="inlineStr">
        <is>
          <t>Hedgehog</t>
        </is>
      </c>
      <c r="G52" s="28" t="inlineStr">
        <is>
          <t>Hub</t>
        </is>
      </c>
      <c r="H52" s="28" t="inlineStr"/>
      <c r="I52" s="29" t="inlineStr">
        <is>
          <t>Added to catalog</t>
        </is>
      </c>
      <c r="J52" s="28" t="inlineStr">
        <is>
          <t>Exotic Nutrition Hedgehog Complete, 2 lb</t>
        </is>
      </c>
      <c r="K52" s="29" t="inlineStr">
        <is>
          <t>Amazon</t>
        </is>
      </c>
      <c r="L52" s="28" t="inlineStr">
        <is>
          <t>https://www.amazon.com/dp/B01HOYD69Q</t>
        </is>
      </c>
      <c r="M52" s="30">
        <f>IF(ISNUMBER(SEARCH("/dp/",L52)),MID(L52,SEARCH("/dp/",L52)+4,10),"")</f>
        <v/>
      </c>
      <c r="N52" s="28" t="inlineStr">
        <is>
          <t>https://www.amazon.com/dp/B01HOYD69Q?tag=beastlyfacts-20</t>
        </is>
      </c>
      <c r="O52" s="29" t="inlineStr">
        <is>
          <t>check</t>
        </is>
      </c>
      <c r="P52" s="31" t="n"/>
      <c r="Q52" s="29" t="inlineStr">
        <is>
          <t>No</t>
        </is>
      </c>
      <c r="R52" s="32" t="inlineStr">
        <is>
          <t>2026-09-28</t>
        </is>
      </c>
      <c r="S52" s="28" t="inlineStr">
        <is>
          <t>PHOTO NEEDED: product-308.jpg = Exotic Nutrition Hedgehog Complete, 2 lb (amazon.com/dp/B01HOYD69Q)
Catalog slug: hedgehog-food-exotic-nutrition-complete.</t>
        </is>
      </c>
    </row>
    <row r="53">
      <c r="A53" s="41" t="inlineStr">
        <is>
          <t>3 Repeat purchase</t>
        </is>
      </c>
      <c r="B53" s="26" t="inlineStr">
        <is>
          <t>NEED</t>
        </is>
      </c>
      <c r="C53" s="40" t="inlineStr">
        <is>
          <t>Health and first aid</t>
        </is>
      </c>
      <c r="D53" s="28" t="inlineStr">
        <is>
          <t>Plain additive-free aquarium salt (sodium chloride, not marine mix)</t>
        </is>
      </c>
      <c r="E53" s="29" t="n">
        <v>1</v>
      </c>
      <c r="F53" s="28" t="inlineStr">
        <is>
          <t>Molly</t>
        </is>
      </c>
      <c r="G53" s="28" t="inlineStr">
        <is>
          <t>Hub, Cost</t>
        </is>
      </c>
      <c r="H53" s="28" t="inlineStr"/>
      <c r="I53" s="29" t="inlineStr">
        <is>
          <t>Added to catalog</t>
        </is>
      </c>
      <c r="J53" s="28" t="inlineStr">
        <is>
          <t>API Aquarium Salt, 33 oz</t>
        </is>
      </c>
      <c r="K53" s="29" t="inlineStr">
        <is>
          <t>Amazon</t>
        </is>
      </c>
      <c r="L53" s="28" t="inlineStr">
        <is>
          <t>https://www.amazon.com/dp/B0010P82UO</t>
        </is>
      </c>
      <c r="M53" s="30">
        <f>IF(ISNUMBER(SEARCH("/dp/",L53)),MID(L53,SEARCH("/dp/",L53)+4,10),"")</f>
        <v/>
      </c>
      <c r="N53" s="28" t="inlineStr">
        <is>
          <t>https://www.amazon.com/dp/B0010P82UO?tag=beastlyfacts-20</t>
        </is>
      </c>
      <c r="O53" s="29" t="inlineStr">
        <is>
          <t>check</t>
        </is>
      </c>
      <c r="P53" s="31" t="n"/>
      <c r="Q53" s="29" t="inlineStr">
        <is>
          <t>No</t>
        </is>
      </c>
      <c r="R53" s="32" t="inlineStr">
        <is>
          <t>2026-09-28</t>
        </is>
      </c>
      <c r="S53" s="28" t="inlineStr">
        <is>
          <t>PHOTO NEEDED: product-309.jpg = API Aquarium Salt, 33 oz (amazon.com/dp/B0010P82UO)
Catalog slug: aquarium-salt-api-33oz.</t>
        </is>
      </c>
    </row>
    <row r="54">
      <c r="A54" s="41" t="inlineStr">
        <is>
          <t>3 Repeat purchase</t>
        </is>
      </c>
      <c r="B54" s="26" t="inlineStr">
        <is>
          <t>NEED</t>
        </is>
      </c>
      <c r="C54" s="37" t="inlineStr">
        <is>
          <t>Substrate</t>
        </is>
      </c>
      <c r="D54" s="28" t="inlineStr">
        <is>
          <t>Kiln-dried pine shavings</t>
        </is>
      </c>
      <c r="E54" s="29" t="n">
        <v>1</v>
      </c>
      <c r="F54" s="28" t="inlineStr">
        <is>
          <t>Guinea pig</t>
        </is>
      </c>
      <c r="G54" s="28" t="inlineStr">
        <is>
          <t>Hub</t>
        </is>
      </c>
      <c r="H54" s="28" t="inlineStr"/>
      <c r="I54" s="29" t="inlineStr">
        <is>
          <t>Added to catalog</t>
        </is>
      </c>
      <c r="J54" s="28" t="inlineStr">
        <is>
          <t>Kaytee Pine Bedding, 19.7 L</t>
        </is>
      </c>
      <c r="K54" s="29" t="inlineStr">
        <is>
          <t>Amazon</t>
        </is>
      </c>
      <c r="L54" s="28" t="inlineStr">
        <is>
          <t>https://www.amazon.com/dp/B000LNQNHK</t>
        </is>
      </c>
      <c r="M54" s="30">
        <f>IF(ISNUMBER(SEARCH("/dp/",L54)),MID(L54,SEARCH("/dp/",L54)+4,10),"")</f>
        <v/>
      </c>
      <c r="N54" s="28" t="inlineStr">
        <is>
          <t>https://www.amazon.com/dp/B000LNQNHK?tag=beastlyfacts-20</t>
        </is>
      </c>
      <c r="O54" s="29" t="inlineStr">
        <is>
          <t>check</t>
        </is>
      </c>
      <c r="P54" s="31" t="n"/>
      <c r="Q54" s="29" t="inlineStr">
        <is>
          <t>No</t>
        </is>
      </c>
      <c r="R54" s="32" t="inlineStr">
        <is>
          <t>2026-09-28</t>
        </is>
      </c>
      <c r="S54" s="28" t="inlineStr">
        <is>
          <t>PHOTO NEEDED: product-310.jpg = Kaytee Pine Bedding, 19.7 L (amazon.com/dp/B000LNQNHK)
Catalog slug: bedding-kaytee-pine-19l.</t>
        </is>
      </c>
    </row>
    <row r="55">
      <c r="A55" s="42" t="inlineStr">
        <is>
          <t>4 Standard</t>
        </is>
      </c>
      <c r="B55" s="26" t="inlineStr">
        <is>
          <t>NEED</t>
        </is>
      </c>
      <c r="C55" s="38" t="inlineStr">
        <is>
          <t>Enclosures and cages</t>
        </is>
      </c>
      <c r="D55" s="28" t="inlineStr">
        <is>
          <t>Glass aquarium lid, hinged, for a 20-long or 29-gallon (30x12 in)</t>
        </is>
      </c>
      <c r="E55" s="29" t="n">
        <v>6</v>
      </c>
      <c r="F55" s="28" t="inlineStr">
        <is>
          <t>Molly, Platy, Swordtail, Zebra danio, Guppy, Goldfish</t>
        </is>
      </c>
      <c r="G55" s="28" t="inlineStr">
        <is>
          <t>Hub</t>
        </is>
      </c>
      <c r="H55" s="28" t="inlineStr"/>
      <c r="I55" s="29" t="inlineStr">
        <is>
          <t>Added to catalog</t>
        </is>
      </c>
      <c r="J55" s="28" t="inlineStr">
        <is>
          <t>Aqueon Versa Top Hinged Glass Lid, 30 in</t>
        </is>
      </c>
      <c r="K55" s="29" t="inlineStr">
        <is>
          <t>Amazon</t>
        </is>
      </c>
      <c r="L55" s="28" t="inlineStr">
        <is>
          <t>https://www.amazon.com/dp/B0002AS802</t>
        </is>
      </c>
      <c r="M55" s="30">
        <f>IF(ISNUMBER(SEARCH("/dp/",L55)),MID(L55,SEARCH("/dp/",L55)+4,10),"")</f>
        <v/>
      </c>
      <c r="N55" s="28" t="inlineStr">
        <is>
          <t>https://www.amazon.com/dp/B0002AS802?tag=beastlyfacts-20</t>
        </is>
      </c>
      <c r="O55" s="29" t="inlineStr">
        <is>
          <t>check</t>
        </is>
      </c>
      <c r="P55" s="31" t="n"/>
      <c r="Q55" s="29" t="inlineStr">
        <is>
          <t>No</t>
        </is>
      </c>
      <c r="R55" s="32" t="inlineStr">
        <is>
          <t>2026-09-28</t>
        </is>
      </c>
      <c r="S55" s="28" t="inlineStr">
        <is>
          <t>PHOTO NEEDED: product-311.jpg = Aqueon Versa Top Hinged Glass Lid, 30 in (amazon.com/dp/B0002AS802)
Catalog slug: glass-lid-aqueon-versa-top-30in.</t>
        </is>
      </c>
    </row>
    <row r="56">
      <c r="A56" s="42" t="inlineStr">
        <is>
          <t>4 Standard</t>
        </is>
      </c>
      <c r="B56" s="26" t="inlineStr">
        <is>
          <t>NEED</t>
        </is>
      </c>
      <c r="C56" s="35" t="inlineStr">
        <is>
          <t>Lighting</t>
        </is>
      </c>
      <c r="D56" s="28" t="inlineStr">
        <is>
          <t>Avian full-spectrum UVB lamp and fixture (UVB 5.0 class, bird-specific), mounted 12 to 18 in from the perch</t>
        </is>
      </c>
      <c r="E56" s="29" t="n">
        <v>6</v>
      </c>
      <c r="F56" s="28" t="inlineStr">
        <is>
          <t>African grey, Conure, Flying squirrel, Cockatoo, Quaker parakeet, Zebra finch</t>
        </is>
      </c>
      <c r="G56" s="28" t="inlineStr">
        <is>
          <t>Hub, Cost, Setup prose</t>
        </is>
      </c>
      <c r="H56" s="28" t="inlineStr"/>
      <c r="I56" s="29" t="inlineStr">
        <is>
          <t>Added to catalog</t>
        </is>
      </c>
      <c r="J56" s="28" t="inlineStr">
        <is>
          <t>Arcadia PureSun Compact Bird Lighting Kit</t>
        </is>
      </c>
      <c r="K56" s="29" t="inlineStr">
        <is>
          <t>Amazon</t>
        </is>
      </c>
      <c r="L56" s="28" t="inlineStr">
        <is>
          <t>https://www.amazon.com/dp/B009SAZW10</t>
        </is>
      </c>
      <c r="M56" s="30">
        <f>IF(ISNUMBER(SEARCH("/dp/",L56)),MID(L56,SEARCH("/dp/",L56)+4,10),"")</f>
        <v/>
      </c>
      <c r="N56" s="28" t="inlineStr">
        <is>
          <t>https://www.amazon.com/dp/B009SAZW10?tag=beastlyfacts-20</t>
        </is>
      </c>
      <c r="O56" s="29" t="inlineStr">
        <is>
          <t>check</t>
        </is>
      </c>
      <c r="P56" s="31" t="n"/>
      <c r="Q56" s="29" t="inlineStr">
        <is>
          <t>No</t>
        </is>
      </c>
      <c r="R56" s="32" t="inlineStr">
        <is>
          <t>2026-09-28</t>
        </is>
      </c>
      <c r="S56" s="28" t="inlineStr">
        <is>
          <t>PHOTO NEEDED: product-345.jpg = Arcadia PureSun Compact Bird Lighting Kit (amazon.com/dp/B009SAZW10)
Catalog slug: uvb-arcadia-puresun-compact-bird-kit.</t>
        </is>
      </c>
    </row>
    <row r="57">
      <c r="A57" s="42" t="inlineStr">
        <is>
          <t>4 Standard</t>
        </is>
      </c>
      <c r="B57" s="26" t="inlineStr">
        <is>
          <t>NEED</t>
        </is>
      </c>
      <c r="C57" s="35" t="inlineStr">
        <is>
          <t>Lighting</t>
        </is>
      </c>
      <c r="D57" s="28" t="inlineStr">
        <is>
          <t>Bright high-output 6500K LED daylight bar, 36 to 48 in or longer, for large desert and monitor enclosures</t>
        </is>
      </c>
      <c r="E57" s="29" t="n">
        <v>6</v>
      </c>
      <c r="F57" s="28" t="inlineStr">
        <is>
          <t>Argentine tegu, Ackie monitor, Savannah monitor, Uromastyx, Bearded dragon, Russian tortoise</t>
        </is>
      </c>
      <c r="G57" s="28" t="inlineStr">
        <is>
          <t>Hub, Setup prose</t>
        </is>
      </c>
      <c r="H57" s="28" t="inlineStr"/>
      <c r="I57" s="29" t="inlineStr">
        <is>
          <t>To find</t>
        </is>
      </c>
      <c r="J57" s="28" t="n"/>
      <c r="K57" s="29" t="n"/>
      <c r="L57" s="28" t="n"/>
      <c r="M57" s="30">
        <f>IF(ISNUMBER(SEARCH("/dp/",L57)),MID(L57,SEARCH("/dp/",L57)+4,10),"")</f>
        <v/>
      </c>
      <c r="N57" s="28" t="n"/>
      <c r="O57" s="29" t="n"/>
      <c r="P57" s="31" t="n"/>
      <c r="Q57" s="29" t="n"/>
      <c r="R57" s="32" t="n"/>
      <c r="S57" s="28" t="inlineStr">
        <is>
          <t>Searched 2026-09-28, not added (weak or no match): Arcadia Jungle Dawn 34 in, 51W (B07XF7F86J), just under 36 in and about 6200K; or Bio Dude Solar Grow 36 in (B0DP3M61DP), Kelvin unconfirmed.</t>
        </is>
      </c>
    </row>
    <row r="58">
      <c r="A58" s="42" t="inlineStr">
        <is>
          <t>4 Standard</t>
        </is>
      </c>
      <c r="B58" s="26" t="inlineStr">
        <is>
          <t>NEED</t>
        </is>
      </c>
      <c r="C58" s="35" t="inlineStr">
        <is>
          <t>Lighting</t>
        </is>
      </c>
      <c r="D58" s="28" t="inlineStr">
        <is>
          <t>Small low-output 6500K LED plant or grow light, 12 to 24 in, for planted terrariums and photoperiod</t>
        </is>
      </c>
      <c r="E58" s="29" t="n">
        <v>6</v>
      </c>
      <c r="F58" s="28" t="inlineStr">
        <is>
          <t>Green anole, Tiger salamander, Ball python, Stick insect, Giant millipede, Jumping spider</t>
        </is>
      </c>
      <c r="G58" s="28" t="inlineStr">
        <is>
          <t>Hub, Cost, Setup prose</t>
        </is>
      </c>
      <c r="H58" s="28" t="inlineStr">
        <is>
          <t>(photoperiod LED)</t>
        </is>
      </c>
      <c r="I58" s="29" t="inlineStr">
        <is>
          <t>Added to catalog</t>
        </is>
      </c>
      <c r="J58" s="28" t="inlineStr">
        <is>
          <t>The Bio Dude Glow and Grow LED, 16 in</t>
        </is>
      </c>
      <c r="K58" s="29" t="inlineStr">
        <is>
          <t>Amazon</t>
        </is>
      </c>
      <c r="L58" s="28" t="inlineStr">
        <is>
          <t>https://www.amazon.com/dp/B099NRFK6T</t>
        </is>
      </c>
      <c r="M58" s="30">
        <f>IF(ISNUMBER(SEARCH("/dp/",L58)),MID(L58,SEARCH("/dp/",L58)+4,10),"")</f>
        <v/>
      </c>
      <c r="N58" s="28" t="inlineStr">
        <is>
          <t>https://www.amazon.com/dp/B099NRFK6T?tag=beastlyfacts-20</t>
        </is>
      </c>
      <c r="O58" s="29" t="inlineStr">
        <is>
          <t>check</t>
        </is>
      </c>
      <c r="P58" s="31" t="n"/>
      <c r="Q58" s="29" t="inlineStr">
        <is>
          <t>No</t>
        </is>
      </c>
      <c r="R58" s="32" t="inlineStr">
        <is>
          <t>2026-09-28</t>
        </is>
      </c>
      <c r="S58" s="28" t="inlineStr">
        <is>
          <t>PHOTO NEEDED: product-330.jpg = The Bio Dude Glow and Grow LED, 16 in (amazon.com/dp/B099NRFK6T)
Catalog slug: grow-light-bio-dude-glow-grow-16in.</t>
        </is>
      </c>
    </row>
    <row r="59">
      <c r="A59" s="42" t="inlineStr">
        <is>
          <t>4 Standard</t>
        </is>
      </c>
      <c r="B59" s="26" t="inlineStr">
        <is>
          <t>NEED</t>
        </is>
      </c>
      <c r="C59" s="38" t="inlineStr">
        <is>
          <t>Enclosures and cages</t>
        </is>
      </c>
      <c r="D59" s="28" t="inlineStr">
        <is>
          <t>Glass aquarium lid, hinged, for a 10-gallon (20x10 in)</t>
        </is>
      </c>
      <c r="E59" s="29" t="n">
        <v>5</v>
      </c>
      <c r="F59" s="28" t="inlineStr">
        <is>
          <t>Guppy, Platy, Zebra danio, Amano shrimp, Hermit crab</t>
        </is>
      </c>
      <c r="G59" s="28" t="inlineStr">
        <is>
          <t>Hub</t>
        </is>
      </c>
      <c r="H59" s="28" t="inlineStr">
        <is>
          <t>(sealing lid that holds humidity)</t>
        </is>
      </c>
      <c r="I59" s="29" t="inlineStr">
        <is>
          <t>Added to catalog</t>
        </is>
      </c>
      <c r="J59" s="28" t="inlineStr">
        <is>
          <t>Aqueon Versa Top Hinged Glass Lid, 20 in</t>
        </is>
      </c>
      <c r="K59" s="29" t="inlineStr">
        <is>
          <t>Amazon</t>
        </is>
      </c>
      <c r="L59" s="28" t="inlineStr">
        <is>
          <t>https://www.amazon.com/dp/B0002AS7ZI</t>
        </is>
      </c>
      <c r="M59" s="30">
        <f>IF(ISNUMBER(SEARCH("/dp/",L59)),MID(L59,SEARCH("/dp/",L59)+4,10),"")</f>
        <v/>
      </c>
      <c r="N59" s="28" t="inlineStr">
        <is>
          <t>https://www.amazon.com/dp/B0002AS7ZI?tag=beastlyfacts-20</t>
        </is>
      </c>
      <c r="O59" s="29" t="inlineStr">
        <is>
          <t>check</t>
        </is>
      </c>
      <c r="P59" s="31" t="n"/>
      <c r="Q59" s="29" t="inlineStr">
        <is>
          <t>No</t>
        </is>
      </c>
      <c r="R59" s="32" t="inlineStr">
        <is>
          <t>2026-09-28</t>
        </is>
      </c>
      <c r="S59" s="28" t="inlineStr">
        <is>
          <t>PHOTO NEEDED: product-312.jpg = Aqueon Versa Top Hinged Glass Lid, 20 in (amazon.com/dp/B0002AS7ZI)
Catalog slug: glass-lid-aqueon-versa-top-20in.</t>
        </is>
      </c>
    </row>
    <row r="60">
      <c r="A60" s="42" t="inlineStr">
        <is>
          <t>4 Standard</t>
        </is>
      </c>
      <c r="B60" s="26" t="inlineStr">
        <is>
          <t>NEED</t>
        </is>
      </c>
      <c r="C60" s="27" t="inlineStr">
        <is>
          <t>Other</t>
        </is>
      </c>
      <c r="D60" s="28" t="inlineStr">
        <is>
          <t>Flat slate, flagstone or porcelain tile, for floors, feeding tiles and basking stacks</t>
        </is>
      </c>
      <c r="E60" s="29" t="n">
        <v>5</v>
      </c>
      <c r="F60" s="28" t="inlineStr">
        <is>
          <t>Leopard gecko, Bearded dragon, Uromastyx, Russian tortoise, Fire-bellied toad</t>
        </is>
      </c>
      <c r="G60" s="28" t="inlineStr">
        <is>
          <t>Hub</t>
        </is>
      </c>
      <c r="H60" s="28" t="inlineStr"/>
      <c r="I60" s="29" t="inlineStr">
        <is>
          <t>Added to catalog</t>
        </is>
      </c>
      <c r="J60" s="28" t="inlineStr">
        <is>
          <t>Daltile Natural Slate Tile, 12x12 in, 6 Pack</t>
        </is>
      </c>
      <c r="K60" s="29" t="inlineStr">
        <is>
          <t>Amazon</t>
        </is>
      </c>
      <c r="L60" s="28" t="inlineStr">
        <is>
          <t>https://www.amazon.com/dp/B0CKZWLWT3</t>
        </is>
      </c>
      <c r="M60" s="30">
        <f>IF(ISNUMBER(SEARCH("/dp/",L60)),MID(L60,SEARCH("/dp/",L60)+4,10),"")</f>
        <v/>
      </c>
      <c r="N60" s="28" t="inlineStr">
        <is>
          <t>https://www.amazon.com/dp/B0CKZWLWT3?tag=beastlyfacts-20</t>
        </is>
      </c>
      <c r="O60" s="29" t="inlineStr">
        <is>
          <t>check</t>
        </is>
      </c>
      <c r="P60" s="31" t="n"/>
      <c r="Q60" s="29" t="inlineStr">
        <is>
          <t>No</t>
        </is>
      </c>
      <c r="R60" s="32" t="inlineStr">
        <is>
          <t>2026-09-28</t>
        </is>
      </c>
      <c r="S60" s="28" t="inlineStr">
        <is>
          <t>PHOTO NEEDED: product-331.jpg = Daltile Natural Slate Tile, 12x12 in, 6 Pack (amazon.com/dp/B0CKZWLWT3)
Catalog slug: slate-tile-daltile-12x12-6pack.</t>
        </is>
      </c>
    </row>
    <row r="61">
      <c r="A61" s="42" t="inlineStr">
        <is>
          <t>4 Standard</t>
        </is>
      </c>
      <c r="B61" s="26" t="inlineStr">
        <is>
          <t>NEED</t>
        </is>
      </c>
      <c r="C61" s="27" t="inlineStr">
        <is>
          <t>Other</t>
        </is>
      </c>
      <c r="D61" s="28" t="inlineStr">
        <is>
          <t>Soft fine-mesh aquarium net and transfer cup, plus a large pond net for koi</t>
        </is>
      </c>
      <c r="E61" s="29" t="n">
        <v>5</v>
      </c>
      <c r="F61" s="28" t="inlineStr">
        <is>
          <t>Betta, Goldfish, Amano shrimp, Oscar, Koi</t>
        </is>
      </c>
      <c r="G61" s="28" t="inlineStr">
        <is>
          <t>Hub</t>
        </is>
      </c>
      <c r="H61" s="28" t="inlineStr"/>
      <c r="I61" s="29" t="inlineStr">
        <is>
          <t>Added to catalog</t>
        </is>
      </c>
      <c r="J61" s="28" t="inlineStr">
        <is>
          <t>AquaTop 5 in Fine Mesh Aquarium Net</t>
        </is>
      </c>
      <c r="K61" s="29" t="inlineStr">
        <is>
          <t>Amazon</t>
        </is>
      </c>
      <c r="L61" s="28" t="inlineStr">
        <is>
          <t>https://www.amazon.com/dp/B01LVYOCKO</t>
        </is>
      </c>
      <c r="M61" s="30">
        <f>IF(ISNUMBER(SEARCH("/dp/",L61)),MID(L61,SEARCH("/dp/",L61)+4,10),"")</f>
        <v/>
      </c>
      <c r="N61" s="28" t="inlineStr">
        <is>
          <t>https://www.amazon.com/dp/B01LVYOCKO?tag=beastlyfacts-20</t>
        </is>
      </c>
      <c r="O61" s="29" t="inlineStr">
        <is>
          <t>check</t>
        </is>
      </c>
      <c r="P61" s="31" t="n"/>
      <c r="Q61" s="29" t="inlineStr">
        <is>
          <t>No</t>
        </is>
      </c>
      <c r="R61" s="32" t="inlineStr">
        <is>
          <t>2026-09-28</t>
        </is>
      </c>
      <c r="S61" s="28" t="inlineStr">
        <is>
          <t>PHOTO NEEDED: product-323.jpg = AquaTop 5 in Fine Mesh Aquarium Net (amazon.com/dp/B01LVYOCKO); product-324.jpg = Aquascape Heavy Duty Pond Net, 36 to 69 in Extendable (amazon.com/dp/B0039G5HCI)
Catalog slug: net-aquatop-5in-fine-mesh, net-aquascape-pond-extendable. Also added: Aquascape Heavy Duty Pond Net, 36 to 69 in Extendable (https://www.amazon.com/dp/B0039G5HCI).</t>
        </is>
      </c>
    </row>
    <row r="62">
      <c r="A62" s="42" t="inlineStr">
        <is>
          <t>4 Standard</t>
        </is>
      </c>
      <c r="B62" s="26" t="inlineStr">
        <is>
          <t>NEED</t>
        </is>
      </c>
      <c r="C62" s="27" t="inlineStr">
        <is>
          <t>Other</t>
        </is>
      </c>
      <c r="D62" s="28" t="inlineStr">
        <is>
          <t>Washable fleece cage liners, sized to the cage</t>
        </is>
      </c>
      <c r="E62" s="29" t="n">
        <v>5</v>
      </c>
      <c r="F62" s="28" t="inlineStr">
        <is>
          <t>Chinchilla, Guinea pig, Hedgehog, Flying squirrel, Sugar glider</t>
        </is>
      </c>
      <c r="G62" s="28" t="inlineStr">
        <is>
          <t>Hub</t>
        </is>
      </c>
      <c r="H62" s="28" t="inlineStr"/>
      <c r="I62" s="29" t="inlineStr">
        <is>
          <t>Added to catalog</t>
        </is>
      </c>
      <c r="J62" s="28" t="inlineStr">
        <is>
          <t>GuineaDad Original Fleece Cage Liner</t>
        </is>
      </c>
      <c r="K62" s="29" t="inlineStr">
        <is>
          <t>Amazon</t>
        </is>
      </c>
      <c r="L62" s="28" t="inlineStr">
        <is>
          <t>https://www.amazon.com/dp/B076D27KNB</t>
        </is>
      </c>
      <c r="M62" s="30">
        <f>IF(ISNUMBER(SEARCH("/dp/",L62)),MID(L62,SEARCH("/dp/",L62)+4,10),"")</f>
        <v/>
      </c>
      <c r="N62" s="28" t="inlineStr">
        <is>
          <t>https://www.amazon.com/dp/B076D27KNB?tag=beastlyfacts-20</t>
        </is>
      </c>
      <c r="O62" s="29" t="inlineStr">
        <is>
          <t>check</t>
        </is>
      </c>
      <c r="P62" s="31" t="n"/>
      <c r="Q62" s="29" t="inlineStr">
        <is>
          <t>No</t>
        </is>
      </c>
      <c r="R62" s="32" t="inlineStr">
        <is>
          <t>2026-09-28</t>
        </is>
      </c>
      <c r="S62" s="28" t="inlineStr">
        <is>
          <t>PHOTO NEEDED: product-346.jpg = GuineaDad Original Fleece Cage Liner (amazon.com/dp/B076D27KNB)
Catalog slug: fleece-liner-guineadad-original.</t>
        </is>
      </c>
    </row>
    <row r="63">
      <c r="A63" s="42" t="inlineStr">
        <is>
          <t>4 Standard</t>
        </is>
      </c>
      <c r="B63" s="26" t="inlineStr">
        <is>
          <t>NEED</t>
        </is>
      </c>
      <c r="C63" s="37" t="inlineStr">
        <is>
          <t>Substrate</t>
        </is>
      </c>
      <c r="D63" s="28" t="inlineStr">
        <is>
          <t>Dark (black) aquarium sand, fine grain</t>
        </is>
      </c>
      <c r="E63" s="29" t="n">
        <v>5</v>
      </c>
      <c r="F63" s="28" t="inlineStr">
        <is>
          <t>Cardinal tetra, Neon tetra, Guppy, Platy, Zebra danio</t>
        </is>
      </c>
      <c r="G63" s="28" t="inlineStr">
        <is>
          <t>Hub, Setup prose</t>
        </is>
      </c>
      <c r="H63" s="28" t="inlineStr"/>
      <c r="I63" s="29" t="inlineStr">
        <is>
          <t>Added to catalog</t>
        </is>
      </c>
      <c r="J63" s="28" t="inlineStr">
        <is>
          <t>CaribSea Tahitian Moon Black Aquarium Sand, 20 lb</t>
        </is>
      </c>
      <c r="K63" s="29" t="inlineStr">
        <is>
          <t>Amazon</t>
        </is>
      </c>
      <c r="L63" s="28" t="inlineStr">
        <is>
          <t>https://www.amazon.com/dp/B007R55QUU</t>
        </is>
      </c>
      <c r="M63" s="30">
        <f>IF(ISNUMBER(SEARCH("/dp/",L63)),MID(L63,SEARCH("/dp/",L63)+4,10),"")</f>
        <v/>
      </c>
      <c r="N63" s="28" t="inlineStr">
        <is>
          <t>https://www.amazon.com/dp/B007R55QUU?tag=beastlyfacts-20</t>
        </is>
      </c>
      <c r="O63" s="29" t="inlineStr">
        <is>
          <t>check</t>
        </is>
      </c>
      <c r="P63" s="31" t="n"/>
      <c r="Q63" s="29" t="inlineStr">
        <is>
          <t>No</t>
        </is>
      </c>
      <c r="R63" s="32" t="inlineStr">
        <is>
          <t>2026-09-28</t>
        </is>
      </c>
      <c r="S63" s="28" t="inlineStr">
        <is>
          <t>PHOTO NEEDED: product-317.jpg = CaribSea Tahitian Moon Black Aquarium Sand, 20 lb (amazon.com/dp/B007R55QUU)
Catalog slug: sand-caribsea-tahitian-moon-20lb.</t>
        </is>
      </c>
    </row>
    <row r="64">
      <c r="A64" s="42" t="inlineStr">
        <is>
          <t>4 Standard</t>
        </is>
      </c>
      <c r="B64" s="26" t="inlineStr">
        <is>
          <t>NEED</t>
        </is>
      </c>
      <c r="C64" s="43" t="inlineStr">
        <is>
          <t>Filtration</t>
        </is>
      </c>
      <c r="D64" s="28" t="inlineStr">
        <is>
          <t>Gravel vacuum and siphon, hand-start, for 10 to 75 gal tanks</t>
        </is>
      </c>
      <c r="E64" s="29" t="n">
        <v>4</v>
      </c>
      <c r="F64" s="28" t="inlineStr">
        <is>
          <t>Corydoras, Goldfish, Oscar, Betta</t>
        </is>
      </c>
      <c r="G64" s="28" t="inlineStr">
        <is>
          <t>Hub, Setup prose</t>
        </is>
      </c>
      <c r="H64" s="28" t="inlineStr"/>
      <c r="I64" s="29" t="inlineStr">
        <is>
          <t>Added to catalog</t>
        </is>
      </c>
      <c r="J64" s="28" t="inlineStr">
        <is>
          <t>Python Pro-Clean Gravel Washer and Siphon, Large, with Squeeze Bulb</t>
        </is>
      </c>
      <c r="K64" s="29" t="inlineStr">
        <is>
          <t>Amazon</t>
        </is>
      </c>
      <c r="L64" s="28" t="inlineStr">
        <is>
          <t>https://www.amazon.com/dp/B00BDPFX62</t>
        </is>
      </c>
      <c r="M64" s="30">
        <f>IF(ISNUMBER(SEARCH("/dp/",L64)),MID(L64,SEARCH("/dp/",L64)+4,10),"")</f>
        <v/>
      </c>
      <c r="N64" s="28" t="inlineStr">
        <is>
          <t>https://www.amazon.com/dp/B00BDPFX62?tag=beastlyfacts-20</t>
        </is>
      </c>
      <c r="O64" s="29" t="inlineStr">
        <is>
          <t>check</t>
        </is>
      </c>
      <c r="P64" s="31" t="n"/>
      <c r="Q64" s="29" t="inlineStr">
        <is>
          <t>No</t>
        </is>
      </c>
      <c r="R64" s="32" t="inlineStr">
        <is>
          <t>2026-09-28</t>
        </is>
      </c>
      <c r="S64" s="28" t="inlineStr">
        <is>
          <t>PHOTO NEEDED: product-318.jpg = Python Pro-Clean Gravel Washer and Siphon, Large, with Squeeze Bulb (amazon.com/dp/B00BDPFX62)
Catalog slug: gravel-vac-python-pro-clean-large.</t>
        </is>
      </c>
    </row>
    <row r="65">
      <c r="A65" s="42" t="inlineStr">
        <is>
          <t>4 Standard</t>
        </is>
      </c>
      <c r="B65" s="26" t="inlineStr">
        <is>
          <t>NEED</t>
        </is>
      </c>
      <c r="C65" s="38" t="inlineStr">
        <is>
          <t>Enclosures and cages</t>
        </is>
      </c>
      <c r="D65" s="28" t="inlineStr">
        <is>
          <t>29-gallon aquarium (30x12x18 in)</t>
        </is>
      </c>
      <c r="E65" s="29" t="n">
        <v>3</v>
      </c>
      <c r="F65" s="28" t="inlineStr">
        <is>
          <t>Bristlenose pleco, Corydoras, Swordtail</t>
        </is>
      </c>
      <c r="G65" s="28" t="inlineStr">
        <is>
          <t>Hub</t>
        </is>
      </c>
      <c r="H65" s="28" t="inlineStr"/>
      <c r="I65" s="29" t="inlineStr">
        <is>
          <t>Added to catalog</t>
        </is>
      </c>
      <c r="J65" s="28" t="inlineStr">
        <is>
          <t>Tetra 29 Gallon Glass Aquarium, Tank Only</t>
        </is>
      </c>
      <c r="K65" s="29" t="inlineStr">
        <is>
          <t>Amazon</t>
        </is>
      </c>
      <c r="L65" s="28" t="inlineStr">
        <is>
          <t>https://www.amazon.com/dp/B08BJ9FQY7</t>
        </is>
      </c>
      <c r="M65" s="30">
        <f>IF(ISNUMBER(SEARCH("/dp/",L65)),MID(L65,SEARCH("/dp/",L65)+4,10),"")</f>
        <v/>
      </c>
      <c r="N65" s="28" t="inlineStr">
        <is>
          <t>https://www.amazon.com/dp/B08BJ9FQY7?tag=beastlyfacts-20</t>
        </is>
      </c>
      <c r="O65" s="29" t="inlineStr">
        <is>
          <t>check</t>
        </is>
      </c>
      <c r="P65" s="31" t="n"/>
      <c r="Q65" s="29" t="inlineStr">
        <is>
          <t>No</t>
        </is>
      </c>
      <c r="R65" s="32" t="inlineStr">
        <is>
          <t>2026-09-28</t>
        </is>
      </c>
      <c r="S65" s="28" t="inlineStr">
        <is>
          <t>PHOTO NEEDED: product-315.jpg = Tetra 29 Gallon Glass Aquarium, Tank Only (amazon.com/dp/B08BJ9FQY7)
Catalog slug: tank-tetra-29-gallon.</t>
        </is>
      </c>
    </row>
    <row r="66">
      <c r="A66" s="42" t="inlineStr">
        <is>
          <t>4 Standard</t>
        </is>
      </c>
      <c r="B66" s="26" t="inlineStr">
        <is>
          <t>NEED</t>
        </is>
      </c>
      <c r="C66" s="43" t="inlineStr">
        <is>
          <t>Filtration</t>
        </is>
      </c>
      <c r="D66" s="28" t="inlineStr">
        <is>
          <t>Pre-filter sponge sleeve for a filter intake, shrimp-safe</t>
        </is>
      </c>
      <c r="E66" s="29" t="n">
        <v>3</v>
      </c>
      <c r="F66" s="28" t="inlineStr">
        <is>
          <t>Amano shrimp, Cherry shrimp, Ghost shrimp</t>
        </is>
      </c>
      <c r="G66" s="28" t="inlineStr">
        <is>
          <t>Hub</t>
        </is>
      </c>
      <c r="H66" s="28" t="inlineStr"/>
      <c r="I66" s="29" t="inlineStr">
        <is>
          <t>Added to catalog</t>
        </is>
      </c>
      <c r="J66" s="28" t="inlineStr">
        <is>
          <t>AQUANEAT Pre-Filter Sponge, 6 Pack (0.8 in intake)</t>
        </is>
      </c>
      <c r="K66" s="29" t="inlineStr">
        <is>
          <t>Amazon</t>
        </is>
      </c>
      <c r="L66" s="28" t="inlineStr">
        <is>
          <t>https://www.amazon.com/dp/B0B5KW55YX</t>
        </is>
      </c>
      <c r="M66" s="30">
        <f>IF(ISNUMBER(SEARCH("/dp/",L66)),MID(L66,SEARCH("/dp/",L66)+4,10),"")</f>
        <v/>
      </c>
      <c r="N66" s="28" t="inlineStr">
        <is>
          <t>https://www.amazon.com/dp/B0B5KW55YX?tag=beastlyfacts-20</t>
        </is>
      </c>
      <c r="O66" s="29" t="inlineStr">
        <is>
          <t>check</t>
        </is>
      </c>
      <c r="P66" s="31" t="n"/>
      <c r="Q66" s="29" t="inlineStr">
        <is>
          <t>No</t>
        </is>
      </c>
      <c r="R66" s="32" t="inlineStr">
        <is>
          <t>2026-09-28</t>
        </is>
      </c>
      <c r="S66" s="28" t="inlineStr">
        <is>
          <t>PHOTO NEEDED: product-320.jpg = AQUANEAT Pre-Filter Sponge, 6 Pack (0.8 in intake) (amazon.com/dp/B0B5KW55YX)
Catalog slug: prefilter-sponge-aquaneat-6pack.</t>
        </is>
      </c>
    </row>
    <row r="67">
      <c r="A67" s="42" t="inlineStr">
        <is>
          <t>4 Standard</t>
        </is>
      </c>
      <c r="B67" s="26" t="inlineStr">
        <is>
          <t>NEED</t>
        </is>
      </c>
      <c r="C67" s="27" t="inlineStr">
        <is>
          <t>Other</t>
        </is>
      </c>
      <c r="D67" s="28" t="inlineStr">
        <is>
          <t>Parrot play stand or play gym, large</t>
        </is>
      </c>
      <c r="E67" s="29" t="n">
        <v>3</v>
      </c>
      <c r="F67" s="28" t="inlineStr">
        <is>
          <t>Cockatoo, African grey, Quaker parakeet</t>
        </is>
      </c>
      <c r="G67" s="28" t="inlineStr">
        <is>
          <t>Hub, Setup prose</t>
        </is>
      </c>
      <c r="H67" s="28" t="inlineStr"/>
      <c r="I67" s="29" t="inlineStr">
        <is>
          <t>Added to catalog</t>
        </is>
      </c>
      <c r="J67" s="28" t="inlineStr">
        <is>
          <t>Prevue Large Parrot Playstand with Wheels</t>
        </is>
      </c>
      <c r="K67" s="29" t="inlineStr">
        <is>
          <t>Amazon</t>
        </is>
      </c>
      <c r="L67" s="28" t="inlineStr">
        <is>
          <t>https://www.amazon.com/dp/B000S13JIG</t>
        </is>
      </c>
      <c r="M67" s="30">
        <f>IF(ISNUMBER(SEARCH("/dp/",L67)),MID(L67,SEARCH("/dp/",L67)+4,10),"")</f>
        <v/>
      </c>
      <c r="N67" s="28" t="inlineStr">
        <is>
          <t>https://www.amazon.com/dp/B000S13JIG?tag=beastlyfacts-20</t>
        </is>
      </c>
      <c r="O67" s="29" t="inlineStr">
        <is>
          <t>check</t>
        </is>
      </c>
      <c r="P67" s="31" t="n"/>
      <c r="Q67" s="29" t="inlineStr">
        <is>
          <t>No</t>
        </is>
      </c>
      <c r="R67" s="32" t="inlineStr">
        <is>
          <t>2026-09-28</t>
        </is>
      </c>
      <c r="S67" s="28" t="inlineStr">
        <is>
          <t>PHOTO NEEDED: product-347.jpg = Prevue Large Parrot Playstand with Wheels (amazon.com/dp/B000S13JIG)
Catalog slug: play-stand-prevue-large-parrot.</t>
        </is>
      </c>
    </row>
    <row r="68">
      <c r="A68" s="42" t="inlineStr">
        <is>
          <t>4 Standard</t>
        </is>
      </c>
      <c r="B68" s="26" t="inlineStr">
        <is>
          <t>NEED</t>
        </is>
      </c>
      <c r="C68" s="27" t="inlineStr">
        <is>
          <t>Other</t>
        </is>
      </c>
      <c r="D68" s="28" t="inlineStr">
        <is>
          <t>Vented deli cups, 32 oz (16 oz for slings)</t>
        </is>
      </c>
      <c r="E68" s="29" t="n">
        <v>3</v>
      </c>
      <c r="F68" s="28" t="inlineStr">
        <is>
          <t>Mourning gecko, Praying mantis, Tarantula</t>
        </is>
      </c>
      <c r="G68" s="28" t="inlineStr">
        <is>
          <t>Hub, Setup prose</t>
        </is>
      </c>
      <c r="H68" s="28" t="inlineStr"/>
      <c r="I68" s="29" t="inlineStr">
        <is>
          <t>Added to catalog</t>
        </is>
      </c>
      <c r="J68" s="28" t="inlineStr">
        <is>
          <t>Dubia Farms 32 oz Deli Cups with Vented Lids, 10 Pack</t>
        </is>
      </c>
      <c r="K68" s="29" t="inlineStr">
        <is>
          <t>Amazon</t>
        </is>
      </c>
      <c r="L68" s="28" t="inlineStr">
        <is>
          <t>https://www.amazon.com/dp/B0FXT3SPDZ</t>
        </is>
      </c>
      <c r="M68" s="30">
        <f>IF(ISNUMBER(SEARCH("/dp/",L68)),MID(L68,SEARCH("/dp/",L68)+4,10),"")</f>
        <v/>
      </c>
      <c r="N68" s="28" t="inlineStr">
        <is>
          <t>https://www.amazon.com/dp/B0FXT3SPDZ?tag=beastlyfacts-20</t>
        </is>
      </c>
      <c r="O68" s="29" t="inlineStr">
        <is>
          <t>check</t>
        </is>
      </c>
      <c r="P68" s="31" t="n"/>
      <c r="Q68" s="29" t="inlineStr">
        <is>
          <t>No</t>
        </is>
      </c>
      <c r="R68" s="32" t="inlineStr">
        <is>
          <t>2026-09-28</t>
        </is>
      </c>
      <c r="S68" s="28" t="inlineStr">
        <is>
          <t>PHOTO NEEDED: product-332.jpg = Dubia Farms 32 oz Deli Cups with Vented Lids, 10 Pack (amazon.com/dp/B0FXT3SPDZ)
Catalog slug: deli-cups-dubia-farms-32oz-vented.</t>
        </is>
      </c>
    </row>
    <row r="69">
      <c r="A69" s="42" t="inlineStr">
        <is>
          <t>4 Standard</t>
        </is>
      </c>
      <c r="B69" s="26" t="inlineStr">
        <is>
          <t>NEED</t>
        </is>
      </c>
      <c r="C69" s="27" t="inlineStr">
        <is>
          <t>Other</t>
        </is>
      </c>
      <c r="D69" s="28" t="inlineStr">
        <is>
          <t>Wooden cage ledges and platforms, kiln-dried</t>
        </is>
      </c>
      <c r="E69" s="29" t="n">
        <v>3</v>
      </c>
      <c r="F69" s="28" t="inlineStr">
        <is>
          <t>Chinchilla, Degu, Mouse</t>
        </is>
      </c>
      <c r="G69" s="28" t="inlineStr">
        <is>
          <t>Hub, Cost</t>
        </is>
      </c>
      <c r="H69" s="28" t="inlineStr"/>
      <c r="I69" s="29" t="inlineStr">
        <is>
          <t>To find</t>
        </is>
      </c>
      <c r="J69" s="28" t="n"/>
      <c r="K69" s="29" t="n"/>
      <c r="L69" s="28" t="n"/>
      <c r="M69" s="30">
        <f>IF(ISNUMBER(SEARCH("/dp/",L69)),MID(L69,SEARCH("/dp/",L69)+4,10),"")</f>
        <v/>
      </c>
      <c r="N69" s="28" t="n"/>
      <c r="O69" s="29" t="n"/>
      <c r="P69" s="31" t="n"/>
      <c r="Q69" s="29" t="n"/>
      <c r="R69" s="32" t="n"/>
      <c r="S69" s="28" t="inlineStr">
        <is>
          <t>Searched 2026-09-28, not added (weak or no match): Small sellers only: 10 piece kiln dried pine ledges (B0B79XPGYM); ledges with hardware (B075SJ3L2Q).</t>
        </is>
      </c>
    </row>
    <row r="70">
      <c r="A70" s="42" t="inlineStr">
        <is>
          <t>4 Standard</t>
        </is>
      </c>
      <c r="B70" s="26" t="inlineStr">
        <is>
          <t>NEED</t>
        </is>
      </c>
      <c r="C70" s="37" t="inlineStr">
        <is>
          <t>Substrate</t>
        </is>
      </c>
      <c r="D70" s="28" t="inlineStr">
        <is>
          <t>Coconut husk chips, coarse</t>
        </is>
      </c>
      <c r="E70" s="29" t="n">
        <v>3</v>
      </c>
      <c r="F70" s="28" t="inlineStr">
        <is>
          <t>White's tree frog, Pacman frog, Green iguana</t>
        </is>
      </c>
      <c r="G70" s="28" t="inlineStr">
        <is>
          <t>Hub</t>
        </is>
      </c>
      <c r="H70" s="28" t="inlineStr"/>
      <c r="I70" s="29" t="inlineStr">
        <is>
          <t>Added to catalog</t>
        </is>
      </c>
      <c r="J70" s="28" t="inlineStr">
        <is>
          <t>Zoo Med Eco Earth Coconut Chips, Brick</t>
        </is>
      </c>
      <c r="K70" s="29" t="inlineStr">
        <is>
          <t>Amazon</t>
        </is>
      </c>
      <c r="L70" s="28" t="inlineStr">
        <is>
          <t>https://www.amazon.com/dp/B0CKY4YGZ3</t>
        </is>
      </c>
      <c r="M70" s="30">
        <f>IF(ISNUMBER(SEARCH("/dp/",L70)),MID(L70,SEARCH("/dp/",L70)+4,10),"")</f>
        <v/>
      </c>
      <c r="N70" s="28" t="inlineStr">
        <is>
          <t>https://www.amazon.com/dp/B0CKY4YGZ3?tag=beastlyfacts-20</t>
        </is>
      </c>
      <c r="O70" s="29" t="inlineStr">
        <is>
          <t>check</t>
        </is>
      </c>
      <c r="P70" s="31" t="n"/>
      <c r="Q70" s="29" t="inlineStr">
        <is>
          <t>No</t>
        </is>
      </c>
      <c r="R70" s="32" t="inlineStr">
        <is>
          <t>2026-09-28</t>
        </is>
      </c>
      <c r="S70" s="28" t="inlineStr">
        <is>
          <t>PHOTO NEEDED: product-333.jpg = Zoo Med Eco Earth Coconut Chips, Brick (amazon.com/dp/B0CKY4YGZ3)
Catalog slug: substrate-zoo-med-eco-earth-coconut-chips.</t>
        </is>
      </c>
    </row>
    <row r="71">
      <c r="A71" s="42" t="inlineStr">
        <is>
          <t>4 Standard</t>
        </is>
      </c>
      <c r="B71" s="26" t="inlineStr">
        <is>
          <t>NEED</t>
        </is>
      </c>
      <c r="C71" s="38" t="inlineStr">
        <is>
          <t>Enclosures and cages</t>
        </is>
      </c>
      <c r="D71" s="28" t="inlineStr">
        <is>
          <t>Glass aquarium lid for a 55-gallon (48x13 in)</t>
        </is>
      </c>
      <c r="E71" s="29" t="n">
        <v>2</v>
      </c>
      <c r="F71" s="28" t="inlineStr">
        <is>
          <t>Angelfish, Goldfish</t>
        </is>
      </c>
      <c r="G71" s="28" t="inlineStr">
        <is>
          <t>Hub</t>
        </is>
      </c>
      <c r="H71" s="28" t="inlineStr"/>
      <c r="I71" s="29" t="inlineStr">
        <is>
          <t>Added to catalog</t>
        </is>
      </c>
      <c r="J71" s="28" t="inlineStr">
        <is>
          <t>Aqueon Versa Top Hinged Glass Lid, 48 in</t>
        </is>
      </c>
      <c r="K71" s="29" t="inlineStr">
        <is>
          <t>Amazon</t>
        </is>
      </c>
      <c r="L71" s="28" t="inlineStr">
        <is>
          <t>https://www.amazon.com/dp/B0002AS8D4</t>
        </is>
      </c>
      <c r="M71" s="30">
        <f>IF(ISNUMBER(SEARCH("/dp/",L71)),MID(L71,SEARCH("/dp/",L71)+4,10),"")</f>
        <v/>
      </c>
      <c r="N71" s="28" t="inlineStr">
        <is>
          <t>https://www.amazon.com/dp/B0002AS8D4?tag=beastlyfacts-20</t>
        </is>
      </c>
      <c r="O71" s="29" t="inlineStr">
        <is>
          <t>check</t>
        </is>
      </c>
      <c r="P71" s="31" t="n"/>
      <c r="Q71" s="29" t="inlineStr">
        <is>
          <t>No</t>
        </is>
      </c>
      <c r="R71" s="32" t="inlineStr">
        <is>
          <t>2026-09-28</t>
        </is>
      </c>
      <c r="S71" s="28" t="inlineStr">
        <is>
          <t>PHOTO NEEDED: product-313.jpg = Aqueon Versa Top Hinged Glass Lid, 48 in (amazon.com/dp/B0002AS8D4)
Catalog slug: glass-lid-aqueon-versa-top-48in.</t>
        </is>
      </c>
    </row>
    <row r="72">
      <c r="A72" s="42" t="inlineStr">
        <is>
          <t>4 Standard</t>
        </is>
      </c>
      <c r="B72" s="26" t="inlineStr">
        <is>
          <t>NEED</t>
        </is>
      </c>
      <c r="C72" s="38" t="inlineStr">
        <is>
          <t>Enclosures and cages</t>
        </is>
      </c>
      <c r="D72" s="28" t="inlineStr">
        <is>
          <t>Screen lid for a 40-gallon breeder (36x18 in)</t>
        </is>
      </c>
      <c r="E72" s="29" t="n">
        <v>2</v>
      </c>
      <c r="F72" s="28" t="inlineStr">
        <is>
          <t>Gerbil, Garter snake</t>
        </is>
      </c>
      <c r="G72" s="28" t="inlineStr">
        <is>
          <t>Hub</t>
        </is>
      </c>
      <c r="H72" s="28" t="inlineStr"/>
      <c r="I72" s="29" t="inlineStr">
        <is>
          <t>Added to catalog</t>
        </is>
      </c>
      <c r="J72" s="28" t="inlineStr">
        <is>
          <t>Zilla Fresh Air Screen Cover, 36x18 in</t>
        </is>
      </c>
      <c r="K72" s="29" t="inlineStr">
        <is>
          <t>Amazon</t>
        </is>
      </c>
      <c r="L72" s="28" t="inlineStr">
        <is>
          <t>https://www.amazon.com/dp/B000QFQ30K</t>
        </is>
      </c>
      <c r="M72" s="30">
        <f>IF(ISNUMBER(SEARCH("/dp/",L72)),MID(L72,SEARCH("/dp/",L72)+4,10),"")</f>
        <v/>
      </c>
      <c r="N72" s="28" t="inlineStr">
        <is>
          <t>https://www.amazon.com/dp/B000QFQ30K?tag=beastlyfacts-20</t>
        </is>
      </c>
      <c r="O72" s="29" t="inlineStr">
        <is>
          <t>check</t>
        </is>
      </c>
      <c r="P72" s="31" t="n"/>
      <c r="Q72" s="29" t="inlineStr">
        <is>
          <t>No</t>
        </is>
      </c>
      <c r="R72" s="32" t="inlineStr">
        <is>
          <t>2026-09-28</t>
        </is>
      </c>
      <c r="S72" s="28" t="inlineStr">
        <is>
          <t>PHOTO NEEDED: product-334.jpg = Zilla Fresh Air Screen Cover, 36x18 in (amazon.com/dp/B000QFQ30K)
Catalog slug: screen-lid-zilla-36x18.</t>
        </is>
      </c>
    </row>
    <row r="73">
      <c r="A73" s="42" t="inlineStr">
        <is>
          <t>4 Standard</t>
        </is>
      </c>
      <c r="B73" s="26" t="inlineStr">
        <is>
          <t>NEED</t>
        </is>
      </c>
      <c r="C73" s="43" t="inlineStr">
        <is>
          <t>Filtration</t>
        </is>
      </c>
      <c r="D73" s="28" t="inlineStr">
        <is>
          <t>Airline tubing, standard 3/16 in, 10 to 25 ft roll (also used for drip acclimation)</t>
        </is>
      </c>
      <c r="E73" s="29" t="n">
        <v>2</v>
      </c>
      <c r="F73" s="28" t="inlineStr">
        <is>
          <t>Zebra danio, Amano shrimp</t>
        </is>
      </c>
      <c r="G73" s="28" t="inlineStr">
        <is>
          <t>Hub, Cost</t>
        </is>
      </c>
      <c r="H73" s="28" t="inlineStr"/>
      <c r="I73" s="29" t="inlineStr">
        <is>
          <t>Added to catalog</t>
        </is>
      </c>
      <c r="J73" s="28" t="inlineStr">
        <is>
          <t>Penn-Plax Standard Airline Tubing, 3/16 in, 25 ft</t>
        </is>
      </c>
      <c r="K73" s="29" t="inlineStr">
        <is>
          <t>Amazon</t>
        </is>
      </c>
      <c r="L73" s="28" t="inlineStr">
        <is>
          <t>https://www.amazon.com/dp/B0002563MW</t>
        </is>
      </c>
      <c r="M73" s="30">
        <f>IF(ISNUMBER(SEARCH("/dp/",L73)),MID(L73,SEARCH("/dp/",L73)+4,10),"")</f>
        <v/>
      </c>
      <c r="N73" s="28" t="inlineStr">
        <is>
          <t>https://www.amazon.com/dp/B0002563MW?tag=beastlyfacts-20</t>
        </is>
      </c>
      <c r="O73" s="29" t="inlineStr">
        <is>
          <t>check</t>
        </is>
      </c>
      <c r="P73" s="31" t="n"/>
      <c r="Q73" s="29" t="inlineStr">
        <is>
          <t>No</t>
        </is>
      </c>
      <c r="R73" s="32" t="inlineStr">
        <is>
          <t>2026-09-28</t>
        </is>
      </c>
      <c r="S73" s="28" t="inlineStr">
        <is>
          <t>PHOTO NEEDED: product-321.jpg = Penn-Plax Standard Airline Tubing, 3/16 in, 25 ft (amazon.com/dp/B0002563MW)
Catalog slug: airline-penn-plax-25ft.</t>
        </is>
      </c>
    </row>
    <row r="74">
      <c r="A74" s="42" t="inlineStr">
        <is>
          <t>4 Standard</t>
        </is>
      </c>
      <c r="B74" s="26" t="inlineStr">
        <is>
          <t>NEED</t>
        </is>
      </c>
      <c r="C74" s="43" t="inlineStr">
        <is>
          <t>Filtration</t>
        </is>
      </c>
      <c r="D74" s="28" t="inlineStr">
        <is>
          <t>Aquarium air pump, quiet, runs one sponge filter in 5 to 20 gal, with check valve and airline</t>
        </is>
      </c>
      <c r="E74" s="29" t="n">
        <v>2</v>
      </c>
      <c r="F74" s="28" t="inlineStr">
        <is>
          <t>Betta, Zebra danio</t>
        </is>
      </c>
      <c r="G74" s="28" t="inlineStr">
        <is>
          <t>Hub, Cost</t>
        </is>
      </c>
      <c r="H74" s="28" t="inlineStr"/>
      <c r="I74" s="29" t="inlineStr">
        <is>
          <t>Added to catalog</t>
        </is>
      </c>
      <c r="J74" s="28" t="inlineStr">
        <is>
          <t>hygger Mini Aquarium Air Pump Kit, 2 to 20 Gallon</t>
        </is>
      </c>
      <c r="K74" s="29" t="inlineStr">
        <is>
          <t>Amazon</t>
        </is>
      </c>
      <c r="L74" s="28" t="inlineStr">
        <is>
          <t>https://www.amazon.com/dp/B07XP4TMVW</t>
        </is>
      </c>
      <c r="M74" s="30">
        <f>IF(ISNUMBER(SEARCH("/dp/",L74)),MID(L74,SEARCH("/dp/",L74)+4,10),"")</f>
        <v/>
      </c>
      <c r="N74" s="28" t="inlineStr">
        <is>
          <t>https://www.amazon.com/dp/B07XP4TMVW?tag=beastlyfacts-20</t>
        </is>
      </c>
      <c r="O74" s="29" t="inlineStr">
        <is>
          <t>check</t>
        </is>
      </c>
      <c r="P74" s="31" t="n"/>
      <c r="Q74" s="29" t="inlineStr">
        <is>
          <t>No</t>
        </is>
      </c>
      <c r="R74" s="32" t="inlineStr">
        <is>
          <t>2026-09-28</t>
        </is>
      </c>
      <c r="S74" s="28" t="inlineStr">
        <is>
          <t>PHOTO NEEDED: product-322.jpg = hygger Mini Aquarium Air Pump Kit, 2 to 20 Gallon (amazon.com/dp/B07XP4TMVW)
Catalog slug: air-pump-hygger-mini-2-20gal.</t>
        </is>
      </c>
    </row>
    <row r="75">
      <c r="A75" s="42" t="inlineStr">
        <is>
          <t>4 Standard</t>
        </is>
      </c>
      <c r="B75" s="26" t="inlineStr">
        <is>
          <t>NEED</t>
        </is>
      </c>
      <c r="C75" s="43" t="inlineStr">
        <is>
          <t>Filtration</t>
        </is>
      </c>
      <c r="D75" s="28" t="inlineStr">
        <is>
          <t>Python-style no-spill water change hose that connects to a faucet, 25 to 50 ft</t>
        </is>
      </c>
      <c r="E75" s="29" t="n">
        <v>2</v>
      </c>
      <c r="F75" s="28" t="inlineStr">
        <is>
          <t>Discus, Oscar</t>
        </is>
      </c>
      <c r="G75" s="28" t="inlineStr">
        <is>
          <t>Hub</t>
        </is>
      </c>
      <c r="H75" s="28" t="inlineStr">
        <is>
          <t>(quarantine hose)</t>
        </is>
      </c>
      <c r="I75" s="29" t="inlineStr">
        <is>
          <t>Added to catalog</t>
        </is>
      </c>
      <c r="J75" s="28" t="inlineStr">
        <is>
          <t>Python No Spill Clean and Fill, 25 ft</t>
        </is>
      </c>
      <c r="K75" s="29" t="inlineStr">
        <is>
          <t>Amazon</t>
        </is>
      </c>
      <c r="L75" s="28" t="inlineStr">
        <is>
          <t>https://www.amazon.com/dp/B000255NXC</t>
        </is>
      </c>
      <c r="M75" s="30">
        <f>IF(ISNUMBER(SEARCH("/dp/",L75)),MID(L75,SEARCH("/dp/",L75)+4,10),"")</f>
        <v/>
      </c>
      <c r="N75" s="28" t="inlineStr">
        <is>
          <t>https://www.amazon.com/dp/B000255NXC?tag=beastlyfacts-20</t>
        </is>
      </c>
      <c r="O75" s="29" t="inlineStr">
        <is>
          <t>check</t>
        </is>
      </c>
      <c r="P75" s="31" t="n"/>
      <c r="Q75" s="29" t="inlineStr">
        <is>
          <t>No</t>
        </is>
      </c>
      <c r="R75" s="32" t="inlineStr">
        <is>
          <t>2026-09-28</t>
        </is>
      </c>
      <c r="S75" s="28" t="inlineStr">
        <is>
          <t>PHOTO NEEDED: product-319.jpg = Python No Spill Clean and Fill, 25 ft (amazon.com/dp/B000255NXC)
Catalog slug: water-change-python-no-spill-25ft.</t>
        </is>
      </c>
    </row>
    <row r="76">
      <c r="A76" s="42" t="inlineStr">
        <is>
          <t>4 Standard</t>
        </is>
      </c>
      <c r="B76" s="26" t="inlineStr">
        <is>
          <t>NEED</t>
        </is>
      </c>
      <c r="C76" s="27" t="inlineStr">
        <is>
          <t>Other</t>
        </is>
      </c>
      <c r="D76" s="28" t="inlineStr">
        <is>
          <t>Aquarium-safe silicone or putty for sealing gaps</t>
        </is>
      </c>
      <c r="E76" s="29" t="n">
        <v>2</v>
      </c>
      <c r="F76" s="28" t="inlineStr">
        <is>
          <t>Mourning gecko, Garter snake</t>
        </is>
      </c>
      <c r="G76" s="28" t="inlineStr">
        <is>
          <t>Hub</t>
        </is>
      </c>
      <c r="H76" s="28" t="inlineStr"/>
      <c r="I76" s="29" t="inlineStr">
        <is>
          <t>Added to catalog</t>
        </is>
      </c>
      <c r="J76" s="28" t="inlineStr">
        <is>
          <t>Aqueon Aquarium Silicone Sealant, Clear, 3 oz</t>
        </is>
      </c>
      <c r="K76" s="29" t="inlineStr">
        <is>
          <t>Amazon</t>
        </is>
      </c>
      <c r="L76" s="28" t="inlineStr">
        <is>
          <t>https://www.amazon.com/dp/B0002ASD2K</t>
        </is>
      </c>
      <c r="M76" s="30">
        <f>IF(ISNUMBER(SEARCH("/dp/",L76)),MID(L76,SEARCH("/dp/",L76)+4,10),"")</f>
        <v/>
      </c>
      <c r="N76" s="28" t="inlineStr">
        <is>
          <t>https://www.amazon.com/dp/B0002ASD2K?tag=beastlyfacts-20</t>
        </is>
      </c>
      <c r="O76" s="29" t="inlineStr">
        <is>
          <t>check</t>
        </is>
      </c>
      <c r="P76" s="31" t="n"/>
      <c r="Q76" s="29" t="inlineStr">
        <is>
          <t>No</t>
        </is>
      </c>
      <c r="R76" s="32" t="inlineStr">
        <is>
          <t>2026-09-28</t>
        </is>
      </c>
      <c r="S76" s="28" t="inlineStr">
        <is>
          <t>PHOTO NEEDED: product-325.jpg = Aqueon Aquarium Silicone Sealant, Clear, 3 oz (amazon.com/dp/B0002ASD2K)
Catalog slug: silicone-aqueon-aquarium-sealant.</t>
        </is>
      </c>
    </row>
    <row r="77">
      <c r="A77" s="42" t="inlineStr">
        <is>
          <t>4 Standard</t>
        </is>
      </c>
      <c r="B77" s="26" t="inlineStr">
        <is>
          <t>NEED</t>
        </is>
      </c>
      <c r="C77" s="27" t="inlineStr">
        <is>
          <t>Other</t>
        </is>
      </c>
      <c r="D77" s="28" t="inlineStr">
        <is>
          <t>Dedicated 5-gallon buckets for water changes</t>
        </is>
      </c>
      <c r="E77" s="29" t="n">
        <v>2</v>
      </c>
      <c r="F77" s="28" t="inlineStr">
        <is>
          <t>Goldfish, Oscar</t>
        </is>
      </c>
      <c r="G77" s="28" t="inlineStr">
        <is>
          <t>Hub</t>
        </is>
      </c>
      <c r="H77" s="28" t="inlineStr"/>
      <c r="I77" s="29" t="inlineStr">
        <is>
          <t>To find</t>
        </is>
      </c>
      <c r="J77" s="28" t="n"/>
      <c r="K77" s="29" t="n"/>
      <c r="L77" s="28" t="n"/>
      <c r="M77" s="30">
        <f>IF(ISNUMBER(SEARCH("/dp/",L77)),MID(L77,SEARCH("/dp/",L77)+4,10),"")</f>
        <v/>
      </c>
      <c r="N77" s="28" t="n"/>
      <c r="O77" s="29" t="n"/>
      <c r="P77" s="31" t="n"/>
      <c r="Q77" s="29" t="n"/>
      <c r="R77" s="32" t="n"/>
      <c r="S77" s="28" t="inlineStr">
        <is>
          <t>Searched 2026-09-28, not added (weak or no match): House Naturals food grade 3 pack with lids (B093GPG7M5), unknown brand.</t>
        </is>
      </c>
    </row>
    <row r="78">
      <c r="A78" s="42" t="inlineStr">
        <is>
          <t>4 Standard</t>
        </is>
      </c>
      <c r="B78" s="26" t="inlineStr">
        <is>
          <t>NEED</t>
        </is>
      </c>
      <c r="C78" s="27" t="inlineStr">
        <is>
          <t>Other</t>
        </is>
      </c>
      <c r="D78" s="28" t="inlineStr">
        <is>
          <t>Hay rack or hay feeder</t>
        </is>
      </c>
      <c r="E78" s="29" t="n">
        <v>2</v>
      </c>
      <c r="F78" s="28" t="inlineStr">
        <is>
          <t>Guinea pig, Rabbit</t>
        </is>
      </c>
      <c r="G78" s="28" t="inlineStr">
        <is>
          <t>Hub, Cost</t>
        </is>
      </c>
      <c r="H78" s="28" t="inlineStr"/>
      <c r="I78" s="29" t="inlineStr">
        <is>
          <t>Added to catalog</t>
        </is>
      </c>
      <c r="J78" s="28" t="inlineStr">
        <is>
          <t>Kaytee Natural Wooden Hay Manger, Large</t>
        </is>
      </c>
      <c r="K78" s="29" t="inlineStr">
        <is>
          <t>Amazon</t>
        </is>
      </c>
      <c r="L78" s="28" t="inlineStr">
        <is>
          <t>https://www.amazon.com/dp/B005FU4Z74</t>
        </is>
      </c>
      <c r="M78" s="30">
        <f>IF(ISNUMBER(SEARCH("/dp/",L78)),MID(L78,SEARCH("/dp/",L78)+4,10),"")</f>
        <v/>
      </c>
      <c r="N78" s="28" t="inlineStr">
        <is>
          <t>https://www.amazon.com/dp/B005FU4Z74?tag=beastlyfacts-20</t>
        </is>
      </c>
      <c r="O78" s="29" t="inlineStr">
        <is>
          <t>check</t>
        </is>
      </c>
      <c r="P78" s="31" t="n"/>
      <c r="Q78" s="29" t="inlineStr">
        <is>
          <t>No</t>
        </is>
      </c>
      <c r="R78" s="32" t="inlineStr">
        <is>
          <t>2026-09-28</t>
        </is>
      </c>
      <c r="S78" s="28" t="inlineStr">
        <is>
          <t>PHOTO NEEDED: product-348.jpg = Kaytee Natural Wooden Hay Manger, Large (amazon.com/dp/B005FU4Z74)
Catalog slug: hay-manger-kaytee-large.</t>
        </is>
      </c>
    </row>
    <row r="79">
      <c r="A79" s="42" t="inlineStr">
        <is>
          <t>4 Standard</t>
        </is>
      </c>
      <c r="B79" s="26" t="inlineStr">
        <is>
          <t>NEED</t>
        </is>
      </c>
      <c r="C79" s="27" t="inlineStr">
        <is>
          <t>Other</t>
        </is>
      </c>
      <c r="D79" s="28" t="inlineStr">
        <is>
          <t>Opaque background film, black, cut to size</t>
        </is>
      </c>
      <c r="E79" s="29" t="n">
        <v>2</v>
      </c>
      <c r="F79" s="28" t="inlineStr">
        <is>
          <t>Discus, Box turtle</t>
        </is>
      </c>
      <c r="G79" s="28" t="inlineStr">
        <is>
          <t>Hub</t>
        </is>
      </c>
      <c r="H79" s="28" t="inlineStr">
        <is>
          <t>(rear glass) (4 to 5 in barrier strip on the front glass)</t>
        </is>
      </c>
      <c r="I79" s="29" t="inlineStr">
        <is>
          <t>To find</t>
        </is>
      </c>
      <c r="J79" s="28" t="n"/>
      <c r="K79" s="29" t="n"/>
      <c r="L79" s="28" t="n"/>
      <c r="M79" s="30">
        <f>IF(ISNUMBER(SEARCH("/dp/",L79)),MID(L79,SEARCH("/dp/",L79)+4,10),"")</f>
        <v/>
      </c>
      <c r="N79" s="28" t="n"/>
      <c r="O79" s="29" t="n"/>
      <c r="P79" s="31" t="n"/>
      <c r="Q79" s="29" t="n"/>
      <c r="R79" s="32" t="n"/>
      <c r="S79" s="28" t="inlineStr">
        <is>
          <t>Searched 2026-09-28, not added (weak or no match): SPORN black static cling 24x12 in (B007GCEDNU) is too small for 30 in and 48 in tanks; larger 79x17.5 in sheet is a little-known brand (B0GYWQ6C14).</t>
        </is>
      </c>
    </row>
    <row r="80">
      <c r="A80" s="42" t="inlineStr">
        <is>
          <t>4 Standard</t>
        </is>
      </c>
      <c r="B80" s="26" t="inlineStr">
        <is>
          <t>NEED</t>
        </is>
      </c>
      <c r="C80" s="27" t="inlineStr">
        <is>
          <t>Other</t>
        </is>
      </c>
      <c r="D80" s="28" t="inlineStr">
        <is>
          <t>Small terracotta pots, for broken-pot hides</t>
        </is>
      </c>
      <c r="E80" s="29" t="n">
        <v>2</v>
      </c>
      <c r="F80" s="28" t="inlineStr">
        <is>
          <t>Emperor scorpion, Tarantula</t>
        </is>
      </c>
      <c r="G80" s="28" t="inlineStr">
        <is>
          <t>Hub</t>
        </is>
      </c>
      <c r="H80" s="28" t="inlineStr"/>
      <c r="I80" s="29" t="inlineStr">
        <is>
          <t>Added to catalog</t>
        </is>
      </c>
      <c r="J80" s="28" t="inlineStr">
        <is>
          <t>Juvale 2 in Terracotta Pots, 10 Pack</t>
        </is>
      </c>
      <c r="K80" s="29" t="inlineStr">
        <is>
          <t>Amazon</t>
        </is>
      </c>
      <c r="L80" s="28" t="inlineStr">
        <is>
          <t>https://www.amazon.com/dp/B071L2F7TT</t>
        </is>
      </c>
      <c r="M80" s="30">
        <f>IF(ISNUMBER(SEARCH("/dp/",L80)),MID(L80,SEARCH("/dp/",L80)+4,10),"")</f>
        <v/>
      </c>
      <c r="N80" s="28" t="inlineStr">
        <is>
          <t>https://www.amazon.com/dp/B071L2F7TT?tag=beastlyfacts-20</t>
        </is>
      </c>
      <c r="O80" s="29" t="inlineStr">
        <is>
          <t>check</t>
        </is>
      </c>
      <c r="P80" s="31" t="n"/>
      <c r="Q80" s="29" t="inlineStr">
        <is>
          <t>No</t>
        </is>
      </c>
      <c r="R80" s="32" t="inlineStr">
        <is>
          <t>2026-09-28</t>
        </is>
      </c>
      <c r="S80" s="28" t="inlineStr">
        <is>
          <t>PHOTO NEEDED: product-338.jpg = Juvale 2 in Terracotta Pots, 10 Pack (amazon.com/dp/B071L2F7TT)
Catalog slug: terracotta-pots-juvale-2in-10pack.</t>
        </is>
      </c>
    </row>
    <row r="81">
      <c r="A81" s="42" t="inlineStr">
        <is>
          <t>4 Standard</t>
        </is>
      </c>
      <c r="B81" s="26" t="inlineStr">
        <is>
          <t>NEED</t>
        </is>
      </c>
      <c r="C81" s="27" t="inlineStr">
        <is>
          <t>Other</t>
        </is>
      </c>
      <c r="D81" s="28" t="inlineStr">
        <is>
          <t>Solid-surface exercise wheel, 6 to 8 in, for mice and dwarf hamsters</t>
        </is>
      </c>
      <c r="E81" s="29" t="n">
        <v>2</v>
      </c>
      <c r="F81" s="28" t="inlineStr">
        <is>
          <t>Mouse, Hamster</t>
        </is>
      </c>
      <c r="G81" s="28" t="inlineStr">
        <is>
          <t>Hub, Cost</t>
        </is>
      </c>
      <c r="H81" s="28" t="inlineStr">
        <is>
          <t>(dwarf)</t>
        </is>
      </c>
      <c r="I81" s="29" t="inlineStr">
        <is>
          <t>Added to catalog</t>
        </is>
      </c>
      <c r="J81" s="28" t="inlineStr">
        <is>
          <t>Kaytee Silent Spinner Wheel, 6.5 in</t>
        </is>
      </c>
      <c r="K81" s="29" t="inlineStr">
        <is>
          <t>Amazon</t>
        </is>
      </c>
      <c r="L81" s="28" t="inlineStr">
        <is>
          <t>https://www.amazon.com/dp/B000A7DFUU</t>
        </is>
      </c>
      <c r="M81" s="30">
        <f>IF(ISNUMBER(SEARCH("/dp/",L81)),MID(L81,SEARCH("/dp/",L81)+4,10),"")</f>
        <v/>
      </c>
      <c r="N81" s="28" t="inlineStr">
        <is>
          <t>https://www.amazon.com/dp/B000A7DFUU?tag=beastlyfacts-20</t>
        </is>
      </c>
      <c r="O81" s="29" t="inlineStr">
        <is>
          <t>check</t>
        </is>
      </c>
      <c r="P81" s="31" t="n"/>
      <c r="Q81" s="29" t="inlineStr">
        <is>
          <t>No</t>
        </is>
      </c>
      <c r="R81" s="32" t="inlineStr">
        <is>
          <t>2026-09-28</t>
        </is>
      </c>
      <c r="S81" s="28" t="inlineStr">
        <is>
          <t>PHOTO NEEDED: product-349.jpg = Kaytee Silent Spinner Wheel, 6.5 in (amazon.com/dp/B000A7DFUU)
Catalog slug: wheel-kaytee-silent-spinner-6-5in.</t>
        </is>
      </c>
    </row>
    <row r="82">
      <c r="A82" s="42" t="inlineStr">
        <is>
          <t>4 Standard</t>
        </is>
      </c>
      <c r="B82" s="26" t="inlineStr">
        <is>
          <t>NEED</t>
        </is>
      </c>
      <c r="C82" s="27" t="inlineStr">
        <is>
          <t>Other</t>
        </is>
      </c>
      <c r="D82" s="28" t="inlineStr">
        <is>
          <t>Wooden small-animal nest box, hung high</t>
        </is>
      </c>
      <c r="E82" s="29" t="n">
        <v>2</v>
      </c>
      <c r="F82" s="28" t="inlineStr">
        <is>
          <t>Flying squirrel, Degu</t>
        </is>
      </c>
      <c r="G82" s="28" t="inlineStr">
        <is>
          <t>Hub, Setup prose</t>
        </is>
      </c>
      <c r="H82" s="28" t="inlineStr"/>
      <c r="I82" s="29" t="inlineStr">
        <is>
          <t>Added to catalog</t>
        </is>
      </c>
      <c r="J82" s="28" t="inlineStr">
        <is>
          <t>Sugar Gliders USA Large Hanging Nesting Box</t>
        </is>
      </c>
      <c r="K82" s="29" t="inlineStr">
        <is>
          <t>Amazon</t>
        </is>
      </c>
      <c r="L82" s="28" t="inlineStr">
        <is>
          <t>https://www.amazon.com/dp/B07FK7V7HC</t>
        </is>
      </c>
      <c r="M82" s="30">
        <f>IF(ISNUMBER(SEARCH("/dp/",L82)),MID(L82,SEARCH("/dp/",L82)+4,10),"")</f>
        <v/>
      </c>
      <c r="N82" s="28" t="inlineStr">
        <is>
          <t>https://www.amazon.com/dp/B07FK7V7HC?tag=beastlyfacts-20</t>
        </is>
      </c>
      <c r="O82" s="29" t="inlineStr">
        <is>
          <t>check</t>
        </is>
      </c>
      <c r="P82" s="31" t="n"/>
      <c r="Q82" s="29" t="inlineStr">
        <is>
          <t>No</t>
        </is>
      </c>
      <c r="R82" s="32" t="inlineStr">
        <is>
          <t>2026-09-28</t>
        </is>
      </c>
      <c r="S82" s="28" t="inlineStr">
        <is>
          <t>PHOTO NEEDED: product-350.jpg = Sugar Gliders USA Large Hanging Nesting Box (amazon.com/dp/B07FK7V7HC)
Catalog slug: nest-box-sugar-gliders-usa-large.</t>
        </is>
      </c>
    </row>
    <row r="83">
      <c r="A83" s="42" t="inlineStr">
        <is>
          <t>4 Standard</t>
        </is>
      </c>
      <c r="B83" s="26" t="inlineStr">
        <is>
          <t>NEED</t>
        </is>
      </c>
      <c r="C83" s="37" t="inlineStr">
        <is>
          <t>Substrate</t>
        </is>
      </c>
      <c r="D83" s="28" t="inlineStr">
        <is>
          <t>Excavator clay or burrowing clay, for tunnels that hold</t>
        </is>
      </c>
      <c r="E83" s="29" t="n">
        <v>2</v>
      </c>
      <c r="F83" s="28" t="inlineStr">
        <is>
          <t>Uromastyx, Savannah monitor</t>
        </is>
      </c>
      <c r="G83" s="28" t="inlineStr">
        <is>
          <t>Hub</t>
        </is>
      </c>
      <c r="H83" s="28" t="inlineStr"/>
      <c r="I83" s="29" t="inlineStr">
        <is>
          <t>Added to catalog</t>
        </is>
      </c>
      <c r="J83" s="28" t="inlineStr">
        <is>
          <t>Zoo Med Excavator Clay Burrowing Substrate, 10 lb</t>
        </is>
      </c>
      <c r="K83" s="29" t="inlineStr">
        <is>
          <t>Amazon</t>
        </is>
      </c>
      <c r="L83" s="28" t="inlineStr">
        <is>
          <t>https://www.amazon.com/dp/B000N5OM8S</t>
        </is>
      </c>
      <c r="M83" s="30">
        <f>IF(ISNUMBER(SEARCH("/dp/",L83)),MID(L83,SEARCH("/dp/",L83)+4,10),"")</f>
        <v/>
      </c>
      <c r="N83" s="28" t="inlineStr">
        <is>
          <t>https://www.amazon.com/dp/B000N5OM8S?tag=beastlyfacts-20</t>
        </is>
      </c>
      <c r="O83" s="29" t="inlineStr">
        <is>
          <t>check</t>
        </is>
      </c>
      <c r="P83" s="31" t="n"/>
      <c r="Q83" s="29" t="inlineStr">
        <is>
          <t>No</t>
        </is>
      </c>
      <c r="R83" s="32" t="inlineStr">
        <is>
          <t>2026-09-28</t>
        </is>
      </c>
      <c r="S83" s="28" t="inlineStr">
        <is>
          <t>PHOTO NEEDED: product-339.jpg = Zoo Med Excavator Clay Burrowing Substrate, 10 lb (amazon.com/dp/B000N5OM8S)
Catalog slug: substrate-zoo-med-excavator-clay-10lb.</t>
        </is>
      </c>
    </row>
    <row r="84">
      <c r="A84" s="42" t="inlineStr">
        <is>
          <t>4 Standard</t>
        </is>
      </c>
      <c r="B84" s="26" t="inlineStr">
        <is>
          <t>NEED</t>
        </is>
      </c>
      <c r="C84" s="37" t="inlineStr">
        <is>
          <t>Substrate</t>
        </is>
      </c>
      <c r="D84" s="28" t="inlineStr">
        <is>
          <t>Orchid bark, coarse</t>
        </is>
      </c>
      <c r="E84" s="29" t="n">
        <v>2</v>
      </c>
      <c r="F84" s="28" t="inlineStr">
        <is>
          <t>White's tree frog, Hissing cockroach</t>
        </is>
      </c>
      <c r="G84" s="28" t="inlineStr">
        <is>
          <t>Hub</t>
        </is>
      </c>
      <c r="H84" s="28" t="inlineStr"/>
      <c r="I84" s="29" t="inlineStr">
        <is>
          <t>Added to catalog</t>
        </is>
      </c>
      <c r="J84" s="28" t="inlineStr">
        <is>
          <t>Better-Gro Orchid Bark, 8 qt</t>
        </is>
      </c>
      <c r="K84" s="29" t="inlineStr">
        <is>
          <t>Amazon</t>
        </is>
      </c>
      <c r="L84" s="28" t="inlineStr">
        <is>
          <t>https://www.amazon.com/dp/B005OK83CI</t>
        </is>
      </c>
      <c r="M84" s="30">
        <f>IF(ISNUMBER(SEARCH("/dp/",L84)),MID(L84,SEARCH("/dp/",L84)+4,10),"")</f>
        <v/>
      </c>
      <c r="N84" s="28" t="inlineStr">
        <is>
          <t>https://www.amazon.com/dp/B005OK83CI?tag=beastlyfacts-20</t>
        </is>
      </c>
      <c r="O84" s="29" t="inlineStr">
        <is>
          <t>check</t>
        </is>
      </c>
      <c r="P84" s="31" t="n"/>
      <c r="Q84" s="29" t="inlineStr">
        <is>
          <t>No</t>
        </is>
      </c>
      <c r="R84" s="32" t="inlineStr">
        <is>
          <t>2026-09-28</t>
        </is>
      </c>
      <c r="S84" s="28" t="inlineStr">
        <is>
          <t>PHOTO NEEDED: product-340.jpg = Better-Gro Orchid Bark, 8 qt (amazon.com/dp/B005OK83CI)
Catalog slug: orchid-bark-better-gro-8qt.</t>
        </is>
      </c>
    </row>
    <row r="85">
      <c r="A85" s="42" t="inlineStr">
        <is>
          <t>4 Standard</t>
        </is>
      </c>
      <c r="B85" s="26" t="inlineStr">
        <is>
          <t>NEED</t>
        </is>
      </c>
      <c r="C85" s="37" t="inlineStr">
        <is>
          <t>Substrate</t>
        </is>
      </c>
      <c r="D85" s="28" t="inlineStr">
        <is>
          <t>Rotting hardwood (white rot oak or beech), for invert diet and cover</t>
        </is>
      </c>
      <c r="E85" s="29" t="n">
        <v>2</v>
      </c>
      <c r="F85" s="28" t="inlineStr">
        <is>
          <t>Giant millipede, Hissing cockroach</t>
        </is>
      </c>
      <c r="G85" s="28" t="inlineStr">
        <is>
          <t>Hub</t>
        </is>
      </c>
      <c r="H85" s="28" t="inlineStr"/>
      <c r="I85" s="29" t="inlineStr">
        <is>
          <t>To find</t>
        </is>
      </c>
      <c r="J85" s="28" t="n"/>
      <c r="K85" s="29" t="n"/>
      <c r="L85" s="28" t="n"/>
      <c r="M85" s="30">
        <f>IF(ISNUMBER(SEARCH("/dp/",L85)),MID(L85,SEARCH("/dp/",L85)+4,10),"")</f>
        <v/>
      </c>
      <c r="N85" s="28" t="n"/>
      <c r="O85" s="29" t="n"/>
      <c r="P85" s="31" t="n"/>
      <c r="Q85" s="29" t="n"/>
      <c r="R85" s="32" t="n"/>
      <c r="S85" s="28" t="inlineStr">
        <is>
          <t>Searched 2026-09-28, not added (weak or no match): Only flake soil found: Critters Direct flake soil 5 lb (B0BVS5Z7HW), fermented hardwood, not chunks.</t>
        </is>
      </c>
    </row>
    <row r="86">
      <c r="A86" s="42" t="inlineStr">
        <is>
          <t>4 Standard</t>
        </is>
      </c>
      <c r="B86" s="26" t="inlineStr">
        <is>
          <t>NEED</t>
        </is>
      </c>
      <c r="C86" s="44" t="inlineStr">
        <is>
          <t>Water testing</t>
        </is>
      </c>
      <c r="D86" s="28" t="inlineStr">
        <is>
          <t>GH and KH liquid test kit (the catalog kit does not test hardness)</t>
        </is>
      </c>
      <c r="E86" s="29" t="n">
        <v>2</v>
      </c>
      <c r="F86" s="28" t="inlineStr">
        <is>
          <t>Amano shrimp, Cherry shrimp</t>
        </is>
      </c>
      <c r="G86" s="28" t="inlineStr">
        <is>
          <t>Hub</t>
        </is>
      </c>
      <c r="H86" s="28" t="inlineStr"/>
      <c r="I86" s="29" t="inlineStr">
        <is>
          <t>Added to catalog</t>
        </is>
      </c>
      <c r="J86" s="28" t="inlineStr">
        <is>
          <t>API GH and KH Test Kit</t>
        </is>
      </c>
      <c r="K86" s="29" t="inlineStr">
        <is>
          <t>Amazon</t>
        </is>
      </c>
      <c r="L86" s="28" t="inlineStr">
        <is>
          <t>https://www.amazon.com/dp/B003SNCHMA</t>
        </is>
      </c>
      <c r="M86" s="30">
        <f>IF(ISNUMBER(SEARCH("/dp/",L86)),MID(L86,SEARCH("/dp/",L86)+4,10),"")</f>
        <v/>
      </c>
      <c r="N86" s="28" t="inlineStr">
        <is>
          <t>https://www.amazon.com/dp/B003SNCHMA?tag=beastlyfacts-20</t>
        </is>
      </c>
      <c r="O86" s="29" t="inlineStr">
        <is>
          <t>check</t>
        </is>
      </c>
      <c r="P86" s="31" t="n"/>
      <c r="Q86" s="29" t="inlineStr">
        <is>
          <t>No</t>
        </is>
      </c>
      <c r="R86" s="32" t="inlineStr">
        <is>
          <t>2026-09-28</t>
        </is>
      </c>
      <c r="S86" s="28" t="inlineStr">
        <is>
          <t>PHOTO NEEDED: product-326.jpg = API GH and KH Test Kit (amazon.com/dp/B003SNCHMA)
Catalog slug: test-kit-api-gh-kh.</t>
        </is>
      </c>
    </row>
    <row r="87">
      <c r="A87" s="42" t="inlineStr">
        <is>
          <t>4 Standard</t>
        </is>
      </c>
      <c r="B87" s="26" t="inlineStr">
        <is>
          <t>NEED</t>
        </is>
      </c>
      <c r="C87" s="38" t="inlineStr">
        <is>
          <t>Enclosures and cages</t>
        </is>
      </c>
      <c r="D87" s="28" t="inlineStr">
        <is>
          <t>12x12x18 in front-opening glass terrarium, mourning gecko starter</t>
        </is>
      </c>
      <c r="E87" s="29" t="n">
        <v>1</v>
      </c>
      <c r="F87" s="28" t="inlineStr">
        <is>
          <t>Mourning gecko</t>
        </is>
      </c>
      <c r="G87" s="28" t="inlineStr">
        <is>
          <t>Hub, Cost</t>
        </is>
      </c>
      <c r="H87" s="28" t="inlineStr"/>
      <c r="I87" s="29" t="inlineStr">
        <is>
          <t>Added to catalog</t>
        </is>
      </c>
      <c r="J87" s="28" t="inlineStr">
        <is>
          <t>Exo Terra Glass Terrarium, 12x12x18 in</t>
        </is>
      </c>
      <c r="K87" s="29" t="inlineStr">
        <is>
          <t>Amazon</t>
        </is>
      </c>
      <c r="L87" s="28" t="inlineStr">
        <is>
          <t>https://www.amazon.com/dp/B000OQW98Q</t>
        </is>
      </c>
      <c r="M87" s="30">
        <f>IF(ISNUMBER(SEARCH("/dp/",L87)),MID(L87,SEARCH("/dp/",L87)+4,10),"")</f>
        <v/>
      </c>
      <c r="N87" s="28" t="inlineStr">
        <is>
          <t>https://www.amazon.com/dp/B000OQW98Q?tag=beastlyfacts-20</t>
        </is>
      </c>
      <c r="O87" s="29" t="inlineStr">
        <is>
          <t>check</t>
        </is>
      </c>
      <c r="P87" s="31" t="n"/>
      <c r="Q87" s="29" t="inlineStr">
        <is>
          <t>No</t>
        </is>
      </c>
      <c r="R87" s="32" t="inlineStr">
        <is>
          <t>2026-09-28</t>
        </is>
      </c>
      <c r="S87" s="28" t="inlineStr">
        <is>
          <t>PHOTO NEEDED: product-337.jpg = Exo Terra Glass Terrarium, 12x12x18 in (amazon.com/dp/B000OQW98Q)
Catalog slug: terrarium-exo-terra-12x12x18.</t>
        </is>
      </c>
    </row>
    <row r="88">
      <c r="A88" s="42" t="inlineStr">
        <is>
          <t>4 Standard</t>
        </is>
      </c>
      <c r="B88" s="26" t="inlineStr">
        <is>
          <t>NEED</t>
        </is>
      </c>
      <c r="C88" s="38" t="inlineStr">
        <is>
          <t>Enclosures and cages</t>
        </is>
      </c>
      <c r="D88" s="28" t="inlineStr">
        <is>
          <t>Acrylic terrestrial tarantula enclosure, about 20x10x10 in, drilled ventilation, no mesh top</t>
        </is>
      </c>
      <c r="E88" s="29" t="n">
        <v>1</v>
      </c>
      <c r="F88" s="28" t="inlineStr">
        <is>
          <t>Tarantula</t>
        </is>
      </c>
      <c r="G88" s="28" t="inlineStr">
        <is>
          <t>Hub</t>
        </is>
      </c>
      <c r="H88" s="28" t="inlineStr"/>
      <c r="I88" s="29" t="inlineStr">
        <is>
          <t>To find</t>
        </is>
      </c>
      <c r="J88" s="28" t="n"/>
      <c r="K88" s="29" t="n"/>
      <c r="L88" s="28" t="n"/>
      <c r="M88" s="30">
        <f>IF(ISNUMBER(SEARCH("/dp/",L88)),MID(L88,SEARCH("/dp/",L88)+4,10),"")</f>
        <v/>
      </c>
      <c r="N88" s="28" t="n"/>
      <c r="O88" s="29" t="n"/>
      <c r="P88" s="31" t="n"/>
      <c r="Q88" s="29" t="n"/>
      <c r="R88" s="32" t="n"/>
      <c r="S88" s="28" t="inlineStr">
        <is>
          <t>Searched 2026-09-28, not added (weak or no match): None found at about 20x10x10 in.</t>
        </is>
      </c>
    </row>
    <row r="89">
      <c r="A89" s="42" t="inlineStr">
        <is>
          <t>4 Standard</t>
        </is>
      </c>
      <c r="B89" s="26" t="inlineStr">
        <is>
          <t>NEED</t>
        </is>
      </c>
      <c r="C89" s="38" t="inlineStr">
        <is>
          <t>Enclosures and cages</t>
        </is>
      </c>
      <c r="D89" s="28" t="inlineStr">
        <is>
          <t>Aquarium stand rated for a filled 55-gallon tank</t>
        </is>
      </c>
      <c r="E89" s="29" t="n">
        <v>1</v>
      </c>
      <c r="F89" s="28" t="inlineStr">
        <is>
          <t>Angelfish</t>
        </is>
      </c>
      <c r="G89" s="28" t="inlineStr">
        <is>
          <t>Hub</t>
        </is>
      </c>
      <c r="H89" s="28" t="inlineStr"/>
      <c r="I89" s="29" t="inlineStr">
        <is>
          <t>Added to catalog</t>
        </is>
      </c>
      <c r="J89" s="28" t="inlineStr">
        <is>
          <t>Aquatic Fundamentals 55 Gallon Upright Aquarium Stand</t>
        </is>
      </c>
      <c r="K89" s="29" t="inlineStr">
        <is>
          <t>Amazon</t>
        </is>
      </c>
      <c r="L89" s="28" t="inlineStr">
        <is>
          <t>https://www.amazon.com/dp/B07P9W4HRW</t>
        </is>
      </c>
      <c r="M89" s="30">
        <f>IF(ISNUMBER(SEARCH("/dp/",L89)),MID(L89,SEARCH("/dp/",L89)+4,10),"")</f>
        <v/>
      </c>
      <c r="N89" s="28" t="inlineStr">
        <is>
          <t>https://www.amazon.com/dp/B07P9W4HRW?tag=beastlyfacts-20</t>
        </is>
      </c>
      <c r="O89" s="29" t="inlineStr">
        <is>
          <t>check</t>
        </is>
      </c>
      <c r="P89" s="31" t="n"/>
      <c r="Q89" s="29" t="inlineStr">
        <is>
          <t>No</t>
        </is>
      </c>
      <c r="R89" s="32" t="inlineStr">
        <is>
          <t>2026-09-28</t>
        </is>
      </c>
      <c r="S89" s="28" t="inlineStr">
        <is>
          <t>PHOTO NEEDED: product-316.jpg = Aquatic Fundamentals 55 Gallon Upright Aquarium Stand (amazon.com/dp/B07P9W4HRW)
Catalog slug: stand-aquatic-fundamentals-55.</t>
        </is>
      </c>
    </row>
    <row r="90">
      <c r="A90" s="42" t="inlineStr">
        <is>
          <t>4 Standard</t>
        </is>
      </c>
      <c r="B90" s="26" t="inlineStr">
        <is>
          <t>NEED</t>
        </is>
      </c>
      <c r="C90" s="38" t="inlineStr">
        <is>
          <t>Enclosures and cages</t>
        </is>
      </c>
      <c r="D90" s="28" t="inlineStr">
        <is>
          <t>Glass aquarium lid for a 75-gallon (48x18 in)</t>
        </is>
      </c>
      <c r="E90" s="29" t="n">
        <v>1</v>
      </c>
      <c r="F90" s="28" t="inlineStr">
        <is>
          <t>Oscar</t>
        </is>
      </c>
      <c r="G90" s="28" t="inlineStr">
        <is>
          <t>Hub</t>
        </is>
      </c>
      <c r="H90" s="28" t="inlineStr"/>
      <c r="I90" s="29" t="inlineStr">
        <is>
          <t>Added to catalog</t>
        </is>
      </c>
      <c r="J90" s="28" t="inlineStr">
        <is>
          <t>Glass Canopy Set for 75 to 110 Gallon Tanks, 48x18 in</t>
        </is>
      </c>
      <c r="K90" s="29" t="inlineStr">
        <is>
          <t>Amazon</t>
        </is>
      </c>
      <c r="L90" s="28" t="inlineStr">
        <is>
          <t>https://www.amazon.com/dp/B01N6MYOHS</t>
        </is>
      </c>
      <c r="M90" s="30">
        <f>IF(ISNUMBER(SEARCH("/dp/",L90)),MID(L90,SEARCH("/dp/",L90)+4,10),"")</f>
        <v/>
      </c>
      <c r="N90" s="28" t="inlineStr">
        <is>
          <t>https://www.amazon.com/dp/B01N6MYOHS?tag=beastlyfacts-20</t>
        </is>
      </c>
      <c r="O90" s="29" t="inlineStr">
        <is>
          <t>check</t>
        </is>
      </c>
      <c r="P90" s="31" t="n"/>
      <c r="Q90" s="29" t="inlineStr">
        <is>
          <t>No</t>
        </is>
      </c>
      <c r="R90" s="32" t="inlineStr">
        <is>
          <t>2026-09-28</t>
        </is>
      </c>
      <c r="S90" s="28" t="inlineStr">
        <is>
          <t>PHOTO NEEDED: product-314.jpg = Glass Canopy Set for 75 to 110 Gallon Tanks, 48x18 in (amazon.com/dp/B01N6MYOHS)
Catalog slug: glass-lid-48x18-center-brace.</t>
        </is>
      </c>
    </row>
    <row r="91">
      <c r="A91" s="42" t="inlineStr">
        <is>
          <t>4 Standard</t>
        </is>
      </c>
      <c r="B91" s="26" t="inlineStr">
        <is>
          <t>NEED</t>
        </is>
      </c>
      <c r="C91" s="38" t="inlineStr">
        <is>
          <t>Enclosures and cages</t>
        </is>
      </c>
      <c r="D91" s="28" t="inlineStr">
        <is>
          <t>Screen lid for a 10-gallon tank (20x10 in)</t>
        </is>
      </c>
      <c r="E91" s="29" t="n">
        <v>1</v>
      </c>
      <c r="F91" s="28" t="inlineStr">
        <is>
          <t>Fire-bellied toad</t>
        </is>
      </c>
      <c r="G91" s="28" t="inlineStr">
        <is>
          <t>Hub</t>
        </is>
      </c>
      <c r="H91" s="28" t="inlineStr"/>
      <c r="I91" s="29" t="inlineStr">
        <is>
          <t>Added to catalog</t>
        </is>
      </c>
      <c r="J91" s="28" t="inlineStr">
        <is>
          <t>Zilla Fresh Air Screen Cover, 20x10 in</t>
        </is>
      </c>
      <c r="K91" s="29" t="inlineStr">
        <is>
          <t>Amazon</t>
        </is>
      </c>
      <c r="L91" s="28" t="inlineStr">
        <is>
          <t>https://www.amazon.com/dp/B000QFOGAE</t>
        </is>
      </c>
      <c r="M91" s="30">
        <f>IF(ISNUMBER(SEARCH("/dp/",L91)),MID(L91,SEARCH("/dp/",L91)+4,10),"")</f>
        <v/>
      </c>
      <c r="N91" s="28" t="inlineStr">
        <is>
          <t>https://www.amazon.com/dp/B000QFOGAE?tag=beastlyfacts-20</t>
        </is>
      </c>
      <c r="O91" s="29" t="inlineStr">
        <is>
          <t>check</t>
        </is>
      </c>
      <c r="P91" s="31" t="n"/>
      <c r="Q91" s="29" t="inlineStr">
        <is>
          <t>No</t>
        </is>
      </c>
      <c r="R91" s="32" t="inlineStr">
        <is>
          <t>2026-09-28</t>
        </is>
      </c>
      <c r="S91" s="28" t="inlineStr">
        <is>
          <t>PHOTO NEEDED: product-335.jpg = Zilla Fresh Air Screen Cover, 20x10 in (amazon.com/dp/B000QFOGAE)
Catalog slug: screen-lid-zilla-20x10.</t>
        </is>
      </c>
    </row>
    <row r="92">
      <c r="A92" s="42" t="inlineStr">
        <is>
          <t>4 Standard</t>
        </is>
      </c>
      <c r="B92" s="26" t="inlineStr">
        <is>
          <t>NEED</t>
        </is>
      </c>
      <c r="C92" s="38" t="inlineStr">
        <is>
          <t>Enclosures and cages</t>
        </is>
      </c>
      <c r="D92" s="28" t="inlineStr">
        <is>
          <t>Small sleep cage for a large parrot</t>
        </is>
      </c>
      <c r="E92" s="29" t="n">
        <v>1</v>
      </c>
      <c r="F92" s="28" t="inlineStr">
        <is>
          <t>African grey</t>
        </is>
      </c>
      <c r="G92" s="28" t="inlineStr">
        <is>
          <t>Hub</t>
        </is>
      </c>
      <c r="H92" s="28" t="inlineStr"/>
      <c r="I92" s="29" t="inlineStr">
        <is>
          <t>To find</t>
        </is>
      </c>
      <c r="J92" s="28" t="n"/>
      <c r="K92" s="29" t="n"/>
      <c r="L92" s="28" t="n"/>
      <c r="M92" s="30">
        <f>IF(ISNUMBER(SEARCH("/dp/",L92)),MID(L92,SEARCH("/dp/",L92)+4,10),"")</f>
        <v/>
      </c>
      <c r="N92" s="28" t="n"/>
      <c r="O92" s="29" t="n"/>
      <c r="P92" s="31" t="n"/>
      <c r="Q92" s="29" t="n"/>
      <c r="R92" s="32" t="n"/>
      <c r="S92" s="28" t="inlineStr">
        <is>
          <t>Searched 2026-09-28, not added (weak or no match): Prevue Hendryx travel cage 20x12x16 (B005U72PLU), a travel cage and small for a grey.</t>
        </is>
      </c>
    </row>
    <row r="93">
      <c r="A93" s="42" t="inlineStr">
        <is>
          <t>4 Standard</t>
        </is>
      </c>
      <c r="B93" s="26" t="inlineStr">
        <is>
          <t>NEED</t>
        </is>
      </c>
      <c r="C93" s="38" t="inlineStr">
        <is>
          <t>Enclosures and cages</t>
        </is>
      </c>
      <c r="D93" s="28" t="inlineStr">
        <is>
          <t>Terrarium lid clips or locks for glass tanks</t>
        </is>
      </c>
      <c r="E93" s="29" t="n">
        <v>1</v>
      </c>
      <c r="F93" s="28" t="inlineStr">
        <is>
          <t>Garter snake</t>
        </is>
      </c>
      <c r="G93" s="28" t="inlineStr">
        <is>
          <t>Hub</t>
        </is>
      </c>
      <c r="H93" s="28" t="inlineStr"/>
      <c r="I93" s="29" t="inlineStr">
        <is>
          <t>Added to catalog</t>
        </is>
      </c>
      <c r="J93" s="28" t="inlineStr">
        <is>
          <t>Zilla Fresh Air Locking Screen Clips, 2 Pack</t>
        </is>
      </c>
      <c r="K93" s="29" t="inlineStr">
        <is>
          <t>Amazon</t>
        </is>
      </c>
      <c r="L93" s="28" t="inlineStr">
        <is>
          <t>https://www.amazon.com/dp/B005KPLZN6</t>
        </is>
      </c>
      <c r="M93" s="30">
        <f>IF(ISNUMBER(SEARCH("/dp/",L93)),MID(L93,SEARCH("/dp/",L93)+4,10),"")</f>
        <v/>
      </c>
      <c r="N93" s="28" t="inlineStr">
        <is>
          <t>https://www.amazon.com/dp/B005KPLZN6?tag=beastlyfacts-20</t>
        </is>
      </c>
      <c r="O93" s="29" t="inlineStr">
        <is>
          <t>check</t>
        </is>
      </c>
      <c r="P93" s="31" t="n"/>
      <c r="Q93" s="29" t="inlineStr">
        <is>
          <t>No</t>
        </is>
      </c>
      <c r="R93" s="32" t="inlineStr">
        <is>
          <t>2026-09-28</t>
        </is>
      </c>
      <c r="S93" s="28" t="inlineStr">
        <is>
          <t>PHOTO NEEDED: product-336.jpg = Zilla Fresh Air Locking Screen Clips, 2 Pack (amazon.com/dp/B005KPLZN6)
Catalog slug: lid-clips-zilla-locking.</t>
        </is>
      </c>
    </row>
    <row r="94">
      <c r="A94" s="42" t="inlineStr">
        <is>
          <t>4 Standard</t>
        </is>
      </c>
      <c r="B94" s="26" t="inlineStr">
        <is>
          <t>NEED</t>
        </is>
      </c>
      <c r="C94" s="43" t="inlineStr">
        <is>
          <t>Filtration</t>
        </is>
      </c>
      <c r="D94" s="28" t="inlineStr">
        <is>
          <t>Pond pump rated about 1.5 times the needed delivered flow (1,500 to 3,000 GPH for a 1,000 gal koi pond)</t>
        </is>
      </c>
      <c r="E94" s="29" t="n">
        <v>1</v>
      </c>
      <c r="F94" s="28" t="inlineStr">
        <is>
          <t>Koi</t>
        </is>
      </c>
      <c r="G94" s="28" t="inlineStr">
        <is>
          <t>Hub</t>
        </is>
      </c>
      <c r="H94" s="28" t="inlineStr">
        <is>
          <t>Check whether the TotalPond filter kit already in the catalog bundles one before sourcing.</t>
        </is>
      </c>
      <c r="I94" s="29" t="inlineStr">
        <is>
          <t>To find</t>
        </is>
      </c>
      <c r="J94" s="28" t="n"/>
      <c r="K94" s="29" t="n"/>
      <c r="L94" s="28" t="n"/>
      <c r="M94" s="30">
        <f>IF(ISNUMBER(SEARCH("/dp/",L94)),MID(L94,SEARCH("/dp/",L94)+4,10),"")</f>
        <v/>
      </c>
      <c r="N94" s="28" t="n"/>
      <c r="O94" s="29" t="n"/>
      <c r="P94" s="31" t="n"/>
      <c r="Q94" s="29" t="n"/>
      <c r="R94" s="32" t="n"/>
      <c r="S94" s="28" t="inlineStr">
        <is>
          <t>Searched 2026-09-28, not added (weak or no match): Aquascape 91017 AquaSurge (B007BK6I5I), confirm on the listing it is the 2000 GPH model; or AquaSurge 3000, 3,196 GPH (B07TSQW9MJ). Also check whether the catalog TotalPond kit includes a pump.</t>
        </is>
      </c>
    </row>
    <row r="95">
      <c r="A95" s="42" t="inlineStr">
        <is>
          <t>4 Standard</t>
        </is>
      </c>
      <c r="B95" s="26" t="inlineStr">
        <is>
          <t>NEED</t>
        </is>
      </c>
      <c r="C95" s="43" t="inlineStr">
        <is>
          <t>Filtration</t>
        </is>
      </c>
      <c r="D95" s="28" t="inlineStr">
        <is>
          <t>Small internal aquarium filter for a shallow water section, under 10 gal</t>
        </is>
      </c>
      <c r="E95" s="29" t="n">
        <v>1</v>
      </c>
      <c r="F95" s="28" t="inlineStr">
        <is>
          <t>Fire-bellied toad</t>
        </is>
      </c>
      <c r="G95" s="28" t="inlineStr">
        <is>
          <t>Hub</t>
        </is>
      </c>
      <c r="H95" s="28" t="inlineStr"/>
      <c r="I95" s="29" t="inlineStr">
        <is>
          <t>Added to catalog</t>
        </is>
      </c>
      <c r="J95" s="28" t="inlineStr">
        <is>
          <t>Fluval U1 Underwater Filter</t>
        </is>
      </c>
      <c r="K95" s="29" t="inlineStr">
        <is>
          <t>Amazon</t>
        </is>
      </c>
      <c r="L95" s="28" t="inlineStr">
        <is>
          <t>https://www.amazon.com/dp/B0020K966M</t>
        </is>
      </c>
      <c r="M95" s="30">
        <f>IF(ISNUMBER(SEARCH("/dp/",L95)),MID(L95,SEARCH("/dp/",L95)+4,10),"")</f>
        <v/>
      </c>
      <c r="N95" s="28" t="inlineStr">
        <is>
          <t>https://www.amazon.com/dp/B0020K966M?tag=beastlyfacts-20</t>
        </is>
      </c>
      <c r="O95" s="29" t="inlineStr">
        <is>
          <t>check</t>
        </is>
      </c>
      <c r="P95" s="31" t="n"/>
      <c r="Q95" s="29" t="inlineStr">
        <is>
          <t>No</t>
        </is>
      </c>
      <c r="R95" s="32" t="inlineStr">
        <is>
          <t>2026-09-28</t>
        </is>
      </c>
      <c r="S95" s="28" t="inlineStr">
        <is>
          <t>PHOTO NEEDED: product-328.jpg = Fluval U1 Underwater Filter (amazon.com/dp/B0020K966M)
Catalog slug: filter-fluval-u1-internal.</t>
        </is>
      </c>
    </row>
    <row r="96">
      <c r="A96" s="42" t="inlineStr">
        <is>
          <t>4 Standard</t>
        </is>
      </c>
      <c r="B96" s="26" t="inlineStr">
        <is>
          <t>NEED</t>
        </is>
      </c>
      <c r="C96" s="27" t="inlineStr">
        <is>
          <t>Other</t>
        </is>
      </c>
      <c r="D96" s="28" t="inlineStr">
        <is>
          <t>Bird water bottle, cage mount</t>
        </is>
      </c>
      <c r="E96" s="29" t="n">
        <v>1</v>
      </c>
      <c r="F96" s="28" t="inlineStr">
        <is>
          <t>Conure</t>
        </is>
      </c>
      <c r="G96" s="28" t="inlineStr">
        <is>
          <t>Hub, Cost</t>
        </is>
      </c>
      <c r="H96" s="28" t="inlineStr"/>
      <c r="I96" s="29" t="inlineStr">
        <is>
          <t>Added to catalog</t>
        </is>
      </c>
      <c r="J96" s="28" t="inlineStr">
        <is>
          <t>Lixit Glass Bird Water Bottles, 16 oz, 2 Pack</t>
        </is>
      </c>
      <c r="K96" s="29" t="inlineStr">
        <is>
          <t>Amazon</t>
        </is>
      </c>
      <c r="L96" s="28" t="inlineStr">
        <is>
          <t>https://www.amazon.com/dp/B07J6GWKDT</t>
        </is>
      </c>
      <c r="M96" s="30">
        <f>IF(ISNUMBER(SEARCH("/dp/",L96)),MID(L96,SEARCH("/dp/",L96)+4,10),"")</f>
        <v/>
      </c>
      <c r="N96" s="28" t="inlineStr">
        <is>
          <t>https://www.amazon.com/dp/B07J6GWKDT?tag=beastlyfacts-20</t>
        </is>
      </c>
      <c r="O96" s="29" t="inlineStr">
        <is>
          <t>check</t>
        </is>
      </c>
      <c r="P96" s="31" t="n"/>
      <c r="Q96" s="29" t="inlineStr">
        <is>
          <t>No</t>
        </is>
      </c>
      <c r="R96" s="32" t="inlineStr">
        <is>
          <t>2026-09-28</t>
        </is>
      </c>
      <c r="S96" s="28" t="inlineStr">
        <is>
          <t>PHOTO NEEDED: product-351.jpg = Lixit Glass Bird Water Bottles, 16 oz, 2 Pack (amazon.com/dp/B07J6GWKDT)
Catalog slug: water-bottle-lixit-bird-glass-16oz.</t>
        </is>
      </c>
    </row>
    <row r="97">
      <c r="A97" s="42" t="inlineStr">
        <is>
          <t>4 Standard</t>
        </is>
      </c>
      <c r="B97" s="26" t="inlineStr">
        <is>
          <t>NEED</t>
        </is>
      </c>
      <c r="C97" s="27" t="inlineStr">
        <is>
          <t>Other</t>
        </is>
      </c>
      <c r="D97" s="28" t="inlineStr">
        <is>
          <t>Ceramic small-animal hide</t>
        </is>
      </c>
      <c r="E97" s="29" t="n">
        <v>1</v>
      </c>
      <c r="F97" s="28" t="inlineStr">
        <is>
          <t>Degu</t>
        </is>
      </c>
      <c r="G97" s="28" t="inlineStr">
        <is>
          <t>Hub</t>
        </is>
      </c>
      <c r="H97" s="28" t="inlineStr"/>
      <c r="I97" s="29" t="inlineStr">
        <is>
          <t>To find</t>
        </is>
      </c>
      <c r="J97" s="28" t="n"/>
      <c r="K97" s="29" t="n"/>
      <c r="L97" s="28" t="n"/>
      <c r="M97" s="30">
        <f>IF(ISNUMBER(SEARCH("/dp/",L97)),MID(L97,SEARCH("/dp/",L97)+4,10),"")</f>
        <v/>
      </c>
      <c r="N97" s="28" t="n"/>
      <c r="O97" s="29" t="n"/>
      <c r="P97" s="31" t="n"/>
      <c r="Q97" s="29" t="n"/>
      <c r="R97" s="32" t="n"/>
      <c r="S97" s="28" t="inlineStr">
        <is>
          <t>Searched 2026-09-28, not added (weak or no match): Niteangel ceramic hideout (B0BGN5KWD6), 2.1 in entrance may be too small for degus.</t>
        </is>
      </c>
    </row>
    <row r="98">
      <c r="A98" s="42" t="inlineStr">
        <is>
          <t>4 Standard</t>
        </is>
      </c>
      <c r="B98" s="26" t="inlineStr">
        <is>
          <t>NEED</t>
        </is>
      </c>
      <c r="C98" s="27" t="inlineStr">
        <is>
          <t>Other</t>
        </is>
      </c>
      <c r="D98" s="28" t="inlineStr">
        <is>
          <t>Chameleon enclosure drainage tray</t>
        </is>
      </c>
      <c r="E98" s="29" t="n">
        <v>1</v>
      </c>
      <c r="F98" s="28" t="inlineStr">
        <is>
          <t>Veiled chameleon</t>
        </is>
      </c>
      <c r="G98" s="28" t="inlineStr">
        <is>
          <t>Hub</t>
        </is>
      </c>
      <c r="H98" s="28" t="inlineStr"/>
      <c r="I98" s="29" t="inlineStr">
        <is>
          <t>To find</t>
        </is>
      </c>
      <c r="J98" s="28" t="n"/>
      <c r="K98" s="29" t="n"/>
      <c r="L98" s="28" t="n"/>
      <c r="M98" s="30">
        <f>IF(ISNUMBER(SEARCH("/dp/",L98)),MID(L98,SEARCH("/dp/",L98)+4,10),"")</f>
        <v/>
      </c>
      <c r="N98" s="28" t="n"/>
      <c r="O98" s="29" t="n"/>
      <c r="P98" s="31" t="n"/>
      <c r="Q98" s="29" t="n"/>
      <c r="R98" s="32" t="n"/>
      <c r="S98" s="28" t="inlineStr">
        <is>
          <t>Searched 2026-09-28, not added (weak or no match): None found. Nearest: Zoo Med ReptiBreeze 24x24 bottom tray (B0164R03RW), fits only that cage and is not a drainage tray.</t>
        </is>
      </c>
    </row>
    <row r="99">
      <c r="A99" s="42" t="inlineStr">
        <is>
          <t>4 Standard</t>
        </is>
      </c>
      <c r="B99" s="26" t="inlineStr">
        <is>
          <t>NEED</t>
        </is>
      </c>
      <c r="C99" s="27" t="inlineStr">
        <is>
          <t>Other</t>
        </is>
      </c>
      <c r="D99" s="28" t="inlineStr">
        <is>
          <t>Concrete or grooming perch</t>
        </is>
      </c>
      <c r="E99" s="29" t="n">
        <v>1</v>
      </c>
      <c r="F99" s="28" t="inlineStr">
        <is>
          <t>Conure</t>
        </is>
      </c>
      <c r="G99" s="28" t="inlineStr">
        <is>
          <t>Hub</t>
        </is>
      </c>
      <c r="H99" s="28" t="inlineStr"/>
      <c r="I99" s="29" t="inlineStr">
        <is>
          <t>Added to catalog</t>
        </is>
      </c>
      <c r="J99" s="28" t="inlineStr">
        <is>
          <t>Polly's Pastel Safety Perch, Medium</t>
        </is>
      </c>
      <c r="K99" s="29" t="inlineStr">
        <is>
          <t>Amazon</t>
        </is>
      </c>
      <c r="L99" s="28" t="inlineStr">
        <is>
          <t>https://www.amazon.com/dp/B0CZ4DNM6J</t>
        </is>
      </c>
      <c r="M99" s="30">
        <f>IF(ISNUMBER(SEARCH("/dp/",L99)),MID(L99,SEARCH("/dp/",L99)+4,10),"")</f>
        <v/>
      </c>
      <c r="N99" s="28" t="inlineStr">
        <is>
          <t>https://www.amazon.com/dp/B0CZ4DNM6J?tag=beastlyfacts-20</t>
        </is>
      </c>
      <c r="O99" s="29" t="inlineStr">
        <is>
          <t>check</t>
        </is>
      </c>
      <c r="P99" s="31" t="n"/>
      <c r="Q99" s="29" t="inlineStr">
        <is>
          <t>No</t>
        </is>
      </c>
      <c r="R99" s="32" t="inlineStr">
        <is>
          <t>2026-09-28</t>
        </is>
      </c>
      <c r="S99" s="28" t="inlineStr">
        <is>
          <t>PHOTO NEEDED: product-352.jpg = Polly's Pastel Safety Perch, Medium (amazon.com/dp/B0CZ4DNM6J)
Catalog slug: perch-pollys-pastel-medium.</t>
        </is>
      </c>
    </row>
    <row r="100">
      <c r="A100" s="42" t="inlineStr">
        <is>
          <t>4 Standard</t>
        </is>
      </c>
      <c r="B100" s="26" t="inlineStr">
        <is>
          <t>NEED</t>
        </is>
      </c>
      <c r="C100" s="27" t="inlineStr">
        <is>
          <t>Other</t>
        </is>
      </c>
      <c r="D100" s="28" t="inlineStr">
        <is>
          <t>Cord protectors and baseboard guards for bunny-proofing</t>
        </is>
      </c>
      <c r="E100" s="29" t="n">
        <v>1</v>
      </c>
      <c r="F100" s="28" t="inlineStr">
        <is>
          <t>Rabbit</t>
        </is>
      </c>
      <c r="G100" s="28" t="inlineStr">
        <is>
          <t>Hub, Cost</t>
        </is>
      </c>
      <c r="H100" s="28" t="inlineStr"/>
      <c r="I100" s="29" t="inlineStr">
        <is>
          <t>Added to catalog</t>
        </is>
      </c>
      <c r="J100" s="28" t="inlineStr">
        <is>
          <t>SunGrow Cord Protector Tubing, 20 ft</t>
        </is>
      </c>
      <c r="K100" s="29" t="inlineStr">
        <is>
          <t>Amazon</t>
        </is>
      </c>
      <c r="L100" s="28" t="inlineStr">
        <is>
          <t>https://www.amazon.com/dp/B07CZ8LL35</t>
        </is>
      </c>
      <c r="M100" s="30">
        <f>IF(ISNUMBER(SEARCH("/dp/",L100)),MID(L100,SEARCH("/dp/",L100)+4,10),"")</f>
        <v/>
      </c>
      <c r="N100" s="28" t="inlineStr">
        <is>
          <t>https://www.amazon.com/dp/B07CZ8LL35?tag=beastlyfacts-20</t>
        </is>
      </c>
      <c r="O100" s="29" t="inlineStr">
        <is>
          <t>check</t>
        </is>
      </c>
      <c r="P100" s="31" t="n"/>
      <c r="Q100" s="29" t="inlineStr">
        <is>
          <t>No</t>
        </is>
      </c>
      <c r="R100" s="32" t="inlineStr">
        <is>
          <t>2026-09-28</t>
        </is>
      </c>
      <c r="S100" s="28" t="inlineStr">
        <is>
          <t>PHOTO NEEDED: product-353.jpg = SunGrow Cord Protector Tubing, 20 ft (amazon.com/dp/B07CZ8LL35)
Catalog slug: cord-protector-sungrow-20ft.</t>
        </is>
      </c>
    </row>
    <row r="101">
      <c r="A101" s="42" t="inlineStr">
        <is>
          <t>4 Standard</t>
        </is>
      </c>
      <c r="B101" s="26" t="inlineStr">
        <is>
          <t>NEED</t>
        </is>
      </c>
      <c r="C101" s="27" t="inlineStr">
        <is>
          <t>Other</t>
        </is>
      </c>
      <c r="D101" s="28" t="inlineStr">
        <is>
          <t>Egg-crate flats, for roach hides</t>
        </is>
      </c>
      <c r="E101" s="29" t="n">
        <v>1</v>
      </c>
      <c r="F101" s="28" t="inlineStr">
        <is>
          <t>Hissing cockroach</t>
        </is>
      </c>
      <c r="G101" s="28" t="inlineStr">
        <is>
          <t>Hub</t>
        </is>
      </c>
      <c r="H101" s="28" t="inlineStr"/>
      <c r="I101" s="29" t="inlineStr">
        <is>
          <t>Added to catalog</t>
        </is>
      </c>
      <c r="J101" s="28" t="inlineStr">
        <is>
          <t>Josh's Frogs Egg Flats, 15 Count</t>
        </is>
      </c>
      <c r="K101" s="29" t="inlineStr">
        <is>
          <t>Amazon</t>
        </is>
      </c>
      <c r="L101" s="28" t="inlineStr">
        <is>
          <t>https://www.amazon.com/dp/B08ZVRNH7C</t>
        </is>
      </c>
      <c r="M101" s="30">
        <f>IF(ISNUMBER(SEARCH("/dp/",L101)),MID(L101,SEARCH("/dp/",L101)+4,10),"")</f>
        <v/>
      </c>
      <c r="N101" s="28" t="inlineStr">
        <is>
          <t>https://www.amazon.com/dp/B08ZVRNH7C?tag=beastlyfacts-20</t>
        </is>
      </c>
      <c r="O101" s="29" t="inlineStr">
        <is>
          <t>check</t>
        </is>
      </c>
      <c r="P101" s="31" t="n"/>
      <c r="Q101" s="29" t="inlineStr">
        <is>
          <t>No</t>
        </is>
      </c>
      <c r="R101" s="32" t="inlineStr">
        <is>
          <t>2026-09-28</t>
        </is>
      </c>
      <c r="S101" s="28" t="inlineStr">
        <is>
          <t>PHOTO NEEDED: product-341.jpg = Josh's Frogs Egg Flats, 15 Count (amazon.com/dp/B08ZVRNH7C)
Catalog slug: egg-flats-joshs-frogs-15.</t>
        </is>
      </c>
    </row>
    <row r="102">
      <c r="A102" s="42" t="inlineStr">
        <is>
          <t>4 Standard</t>
        </is>
      </c>
      <c r="B102" s="26" t="inlineStr">
        <is>
          <t>NEED</t>
        </is>
      </c>
      <c r="C102" s="27" t="inlineStr">
        <is>
          <t>Other</t>
        </is>
      </c>
      <c r="D102" s="28" t="inlineStr">
        <is>
          <t>Parrot shredding material: palm strips, willow, seagrass, paper strips</t>
        </is>
      </c>
      <c r="E102" s="29" t="n">
        <v>1</v>
      </c>
      <c r="F102" s="28" t="inlineStr">
        <is>
          <t>Quaker parakeet</t>
        </is>
      </c>
      <c r="G102" s="28" t="inlineStr">
        <is>
          <t>Hub</t>
        </is>
      </c>
      <c r="H102" s="28" t="inlineStr"/>
      <c r="I102" s="29" t="inlineStr">
        <is>
          <t>Added to catalog</t>
        </is>
      </c>
      <c r="J102" s="28" t="inlineStr">
        <is>
          <t>Planet Pleasures Shredders Zig Zag Palm Roll, 30 ft</t>
        </is>
      </c>
      <c r="K102" s="29" t="inlineStr">
        <is>
          <t>Amazon</t>
        </is>
      </c>
      <c r="L102" s="28" t="inlineStr">
        <is>
          <t>https://www.amazon.com/dp/B0002FP43Q</t>
        </is>
      </c>
      <c r="M102" s="30">
        <f>IF(ISNUMBER(SEARCH("/dp/",L102)),MID(L102,SEARCH("/dp/",L102)+4,10),"")</f>
        <v/>
      </c>
      <c r="N102" s="28" t="inlineStr">
        <is>
          <t>https://www.amazon.com/dp/B0002FP43Q?tag=beastlyfacts-20</t>
        </is>
      </c>
      <c r="O102" s="29" t="inlineStr">
        <is>
          <t>check</t>
        </is>
      </c>
      <c r="P102" s="31" t="n"/>
      <c r="Q102" s="29" t="inlineStr">
        <is>
          <t>No</t>
        </is>
      </c>
      <c r="R102" s="32" t="inlineStr">
        <is>
          <t>2026-09-28</t>
        </is>
      </c>
      <c r="S102" s="28" t="inlineStr">
        <is>
          <t>PHOTO NEEDED: product-354.jpg = Planet Pleasures Shredders Zig Zag Palm Roll, 30 ft (amazon.com/dp/B0002FP43Q)
Catalog slug: shredder-planet-pleasures-zig-zag.</t>
        </is>
      </c>
    </row>
    <row r="103">
      <c r="A103" s="42" t="inlineStr">
        <is>
          <t>4 Standard</t>
        </is>
      </c>
      <c r="B103" s="26" t="inlineStr">
        <is>
          <t>NEED</t>
        </is>
      </c>
      <c r="C103" s="27" t="inlineStr">
        <is>
          <t>Other</t>
        </is>
      </c>
      <c r="D103" s="28" t="inlineStr">
        <is>
          <t>Pond liner underlayment fabric, sized to the liner</t>
        </is>
      </c>
      <c r="E103" s="29" t="n">
        <v>1</v>
      </c>
      <c r="F103" s="28" t="inlineStr">
        <is>
          <t>Koi</t>
        </is>
      </c>
      <c r="G103" s="28" t="inlineStr">
        <is>
          <t>Hub</t>
        </is>
      </c>
      <c r="H103" s="28" t="inlineStr"/>
      <c r="I103" s="29" t="inlineStr">
        <is>
          <t>Added to catalog</t>
        </is>
      </c>
      <c r="J103" s="28" t="inlineStr">
        <is>
          <t>Sandbaggy Geotextile Pond Underlayment, 6 ft x 50 ft</t>
        </is>
      </c>
      <c r="K103" s="29" t="inlineStr">
        <is>
          <t>Amazon</t>
        </is>
      </c>
      <c r="L103" s="28" t="inlineStr">
        <is>
          <t>https://www.amazon.com/dp/B09VC3C6B8</t>
        </is>
      </c>
      <c r="M103" s="30">
        <f>IF(ISNUMBER(SEARCH("/dp/",L103)),MID(L103,SEARCH("/dp/",L103)+4,10),"")</f>
        <v/>
      </c>
      <c r="N103" s="28" t="inlineStr">
        <is>
          <t>https://www.amazon.com/dp/B09VC3C6B8?tag=beastlyfacts-20</t>
        </is>
      </c>
      <c r="O103" s="29" t="inlineStr">
        <is>
          <t>check</t>
        </is>
      </c>
      <c r="P103" s="31" t="n"/>
      <c r="Q103" s="29" t="inlineStr">
        <is>
          <t>No</t>
        </is>
      </c>
      <c r="R103" s="32" t="inlineStr">
        <is>
          <t>2026-09-28</t>
        </is>
      </c>
      <c r="S103" s="28" t="inlineStr">
        <is>
          <t>PHOTO NEEDED: product-329.jpg = Sandbaggy Geotextile Pond Underlayment, 6 ft x 50 ft (amazon.com/dp/B09VC3C6B8)
Catalog slug: pond-underlayment-sandbaggy-6x50.</t>
        </is>
      </c>
    </row>
    <row r="104">
      <c r="A104" s="42" t="inlineStr">
        <is>
          <t>4 Standard</t>
        </is>
      </c>
      <c r="B104" s="26" t="inlineStr">
        <is>
          <t>NEED</t>
        </is>
      </c>
      <c r="C104" s="27" t="inlineStr">
        <is>
          <t>Other</t>
        </is>
      </c>
      <c r="D104" s="28" t="inlineStr">
        <is>
          <t>Retes stack or basking shelf tiles</t>
        </is>
      </c>
      <c r="E104" s="29" t="n">
        <v>1</v>
      </c>
      <c r="F104" s="28" t="inlineStr">
        <is>
          <t>Ackie monitor</t>
        </is>
      </c>
      <c r="G104" s="28" t="inlineStr">
        <is>
          <t>Hub, Cost</t>
        </is>
      </c>
      <c r="H104" s="28" t="inlineStr"/>
      <c r="I104" s="29" t="inlineStr">
        <is>
          <t>To find</t>
        </is>
      </c>
      <c r="J104" s="28" t="n"/>
      <c r="K104" s="29" t="n"/>
      <c r="L104" s="28" t="n"/>
      <c r="M104" s="30">
        <f>IF(ISNUMBER(SEARCH("/dp/",L104)),MID(L104,SEARCH("/dp/",L104)+4,10),"")</f>
        <v/>
      </c>
      <c r="N104" s="28" t="n"/>
      <c r="O104" s="29" t="n"/>
      <c r="P104" s="31" t="n"/>
      <c r="Q104" s="29" t="n"/>
      <c r="R104" s="32" t="n"/>
      <c r="S104" s="28" t="inlineStr">
        <is>
          <t>Searched 2026-09-28, not added (weak or no match): REPTIZOO resin slate stack (B0BX35CM35) is light for a monitor; INOSCIND slate basking platform 15.7x11.8 in (B0CZXS1Z57).</t>
        </is>
      </c>
    </row>
    <row r="105">
      <c r="A105" s="42" t="inlineStr">
        <is>
          <t>4 Standard</t>
        </is>
      </c>
      <c r="B105" s="26" t="inlineStr">
        <is>
          <t>NEED</t>
        </is>
      </c>
      <c r="C105" s="27" t="inlineStr">
        <is>
          <t>Other</t>
        </is>
      </c>
      <c r="D105" s="28" t="inlineStr">
        <is>
          <t>Stainless cage locks, cockatoo-proof</t>
        </is>
      </c>
      <c r="E105" s="29" t="n">
        <v>1</v>
      </c>
      <c r="F105" s="28" t="inlineStr">
        <is>
          <t>Cockatoo</t>
        </is>
      </c>
      <c r="G105" s="28" t="inlineStr">
        <is>
          <t>Hub</t>
        </is>
      </c>
      <c r="H105" s="28" t="inlineStr"/>
      <c r="I105" s="29" t="inlineStr">
        <is>
          <t>To find</t>
        </is>
      </c>
      <c r="J105" s="28" t="n"/>
      <c r="K105" s="29" t="n"/>
      <c r="L105" s="28" t="n"/>
      <c r="M105" s="30">
        <f>IF(ISNUMBER(SEARCH("/dp/",L105)),MID(L105,SEARCH("/dp/",L105)+4,10),"")</f>
        <v/>
      </c>
      <c r="N105" s="28" t="n"/>
      <c r="O105" s="29" t="n"/>
      <c r="P105" s="31" t="n"/>
      <c r="Q105" s="29" t="n"/>
      <c r="R105" s="32" t="n"/>
      <c r="S105" s="28" t="inlineStr">
        <is>
          <t>Searched 2026-09-28, not added (weak or no match): Generic only: DIYEAH stainless door clips 10 pack (B0G154L6N6); half moon lock (B0GHSR1RZ9).</t>
        </is>
      </c>
    </row>
    <row r="106">
      <c r="A106" s="42" t="inlineStr">
        <is>
          <t>4 Standard</t>
        </is>
      </c>
      <c r="B106" s="26" t="inlineStr">
        <is>
          <t>NEED</t>
        </is>
      </c>
      <c r="C106" s="27" t="inlineStr">
        <is>
          <t>Other</t>
        </is>
      </c>
      <c r="D106" s="28" t="inlineStr">
        <is>
          <t>Substrate dam, clear acrylic front barrier</t>
        </is>
      </c>
      <c r="E106" s="29" t="n">
        <v>1</v>
      </c>
      <c r="F106" s="28" t="inlineStr">
        <is>
          <t>Ackie monitor</t>
        </is>
      </c>
      <c r="G106" s="28" t="inlineStr">
        <is>
          <t>Hub</t>
        </is>
      </c>
      <c r="H106" s="28" t="inlineStr"/>
      <c r="I106" s="29" t="inlineStr">
        <is>
          <t>To find</t>
        </is>
      </c>
      <c r="J106" s="28" t="n"/>
      <c r="K106" s="29" t="n"/>
      <c r="L106" s="28" t="n"/>
      <c r="M106" s="30">
        <f>IF(ISNUMBER(SEARCH("/dp/",L106)),MID(L106,SEARCH("/dp/",L106)+4,10),"")</f>
        <v/>
      </c>
      <c r="N106" s="28" t="n"/>
      <c r="O106" s="29" t="n"/>
      <c r="P106" s="31" t="n"/>
      <c r="Q106" s="29" t="n"/>
      <c r="R106" s="32" t="n"/>
      <c r="S106" s="28" t="inlineStr">
        <is>
          <t>Searched 2026-09-28, not added (weak or no match): None found as a standalone product.</t>
        </is>
      </c>
    </row>
    <row r="107">
      <c r="A107" s="42" t="inlineStr">
        <is>
          <t>4 Standard</t>
        </is>
      </c>
      <c r="B107" s="26" t="inlineStr">
        <is>
          <t>NEED</t>
        </is>
      </c>
      <c r="C107" s="27" t="inlineStr">
        <is>
          <t>Other</t>
        </is>
      </c>
      <c r="D107" s="28" t="inlineStr">
        <is>
          <t>Washable pen flooring (vinyl mat, rug or fleece over a yoga mat) and a waterproof tarp</t>
        </is>
      </c>
      <c r="E107" s="29" t="n">
        <v>1</v>
      </c>
      <c r="F107" s="28" t="inlineStr">
        <is>
          <t>Rabbit</t>
        </is>
      </c>
      <c r="G107" s="28" t="inlineStr">
        <is>
          <t>Hub</t>
        </is>
      </c>
      <c r="H107" s="28" t="inlineStr"/>
      <c r="I107" s="29" t="inlineStr">
        <is>
          <t>Added to catalog</t>
        </is>
      </c>
      <c r="J107" s="28" t="inlineStr">
        <is>
          <t>Prevue Playpen Cover and Floor Mat, Small</t>
        </is>
      </c>
      <c r="K107" s="29" t="inlineStr">
        <is>
          <t>Amazon</t>
        </is>
      </c>
      <c r="L107" s="28" t="inlineStr">
        <is>
          <t>https://www.amazon.com/dp/B000WMN38M</t>
        </is>
      </c>
      <c r="M107" s="30">
        <f>IF(ISNUMBER(SEARCH("/dp/",L107)),MID(L107,SEARCH("/dp/",L107)+4,10),"")</f>
        <v/>
      </c>
      <c r="N107" s="28" t="inlineStr">
        <is>
          <t>https://www.amazon.com/dp/B000WMN38M?tag=beastlyfacts-20</t>
        </is>
      </c>
      <c r="O107" s="29" t="inlineStr">
        <is>
          <t>check</t>
        </is>
      </c>
      <c r="P107" s="31" t="n"/>
      <c r="Q107" s="29" t="inlineStr">
        <is>
          <t>No</t>
        </is>
      </c>
      <c r="R107" s="32" t="inlineStr">
        <is>
          <t>2026-09-28</t>
        </is>
      </c>
      <c r="S107" s="28" t="inlineStr">
        <is>
          <t>PHOTO NEEDED: product-355.jpg = Prevue Playpen Cover and Floor Mat, Small (amazon.com/dp/B000WMN38M); product-356.jpg = Xpose Safety Heavy Duty Poly Tarp, 6x8 ft, 10 mil (amazon.com/dp/B07GYZLYGL)
Catalog slug: pen-mat-prevue-playpen-cover, tarp-xpose-6x8-10mil. Also added: Xpose Safety Heavy Duty Poly Tarp, 6x8 ft, 10 mil (https://www.amazon.com/dp/B07GYZLYGL).</t>
        </is>
      </c>
    </row>
    <row r="108">
      <c r="A108" s="42" t="inlineStr">
        <is>
          <t>4 Standard</t>
        </is>
      </c>
      <c r="B108" s="26" t="inlineStr">
        <is>
          <t>NEED</t>
        </is>
      </c>
      <c r="C108" s="27" t="inlineStr">
        <is>
          <t>Other</t>
        </is>
      </c>
      <c r="D108" s="28" t="inlineStr">
        <is>
          <t>Water tubes or a stoppered container for cut host-plant stems</t>
        </is>
      </c>
      <c r="E108" s="29" t="n">
        <v>1</v>
      </c>
      <c r="F108" s="28" t="inlineStr">
        <is>
          <t>Stick insect</t>
        </is>
      </c>
      <c r="G108" s="28" t="inlineStr">
        <is>
          <t>Hub</t>
        </is>
      </c>
      <c r="H108" s="28" t="inlineStr"/>
      <c r="I108" s="29" t="inlineStr">
        <is>
          <t>Added to catalog</t>
        </is>
      </c>
      <c r="J108" s="28" t="inlineStr">
        <is>
          <t>Royal Imports Floral Water Tubes with Caps, 25 Pack</t>
        </is>
      </c>
      <c r="K108" s="29" t="inlineStr">
        <is>
          <t>Amazon</t>
        </is>
      </c>
      <c r="L108" s="28" t="inlineStr">
        <is>
          <t>https://www.amazon.com/dp/B08W9ND27F</t>
        </is>
      </c>
      <c r="M108" s="30">
        <f>IF(ISNUMBER(SEARCH("/dp/",L108)),MID(L108,SEARCH("/dp/",L108)+4,10),"")</f>
        <v/>
      </c>
      <c r="N108" s="28" t="inlineStr">
        <is>
          <t>https://www.amazon.com/dp/B08W9ND27F?tag=beastlyfacts-20</t>
        </is>
      </c>
      <c r="O108" s="29" t="inlineStr">
        <is>
          <t>check</t>
        </is>
      </c>
      <c r="P108" s="31" t="n"/>
      <c r="Q108" s="29" t="inlineStr">
        <is>
          <t>No</t>
        </is>
      </c>
      <c r="R108" s="32" t="inlineStr">
        <is>
          <t>2026-09-28</t>
        </is>
      </c>
      <c r="S108" s="28" t="inlineStr">
        <is>
          <t>PHOTO NEEDED: product-342.jpg = Royal Imports Floral Water Tubes with Caps, 25 Pack (amazon.com/dp/B08W9ND27F)
Catalog slug: water-tubes-royal-imports-25pack.</t>
        </is>
      </c>
    </row>
    <row r="109">
      <c r="A109" s="42" t="inlineStr">
        <is>
          <t>4 Standard</t>
        </is>
      </c>
      <c r="B109" s="26" t="inlineStr">
        <is>
          <t>NEED</t>
        </is>
      </c>
      <c r="C109" s="37" t="inlineStr">
        <is>
          <t>Substrate</t>
        </is>
      </c>
      <c r="D109" s="28" t="inlineStr">
        <is>
          <t>Large smooth river rock, aquarium safe, for a water section</t>
        </is>
      </c>
      <c r="E109" s="29" t="n">
        <v>1</v>
      </c>
      <c r="F109" s="28" t="inlineStr">
        <is>
          <t>Fire-bellied toad</t>
        </is>
      </c>
      <c r="G109" s="28" t="inlineStr">
        <is>
          <t>Hub</t>
        </is>
      </c>
      <c r="H109" s="28" t="inlineStr"/>
      <c r="I109" s="29" t="inlineStr">
        <is>
          <t>To find</t>
        </is>
      </c>
      <c r="J109" s="28" t="n"/>
      <c r="K109" s="29" t="n"/>
      <c r="L109" s="28" t="n"/>
      <c r="M109" s="30">
        <f>IF(ISNUMBER(SEARCH("/dp/",L109)),MID(L109,SEARCH("/dp/",L109)+4,10),"")</f>
        <v/>
      </c>
      <c r="N109" s="28" t="n"/>
      <c r="O109" s="29" t="n"/>
      <c r="P109" s="31" t="n"/>
      <c r="Q109" s="29" t="n"/>
      <c r="R109" s="32" t="n"/>
      <c r="S109" s="28" t="inlineStr">
        <is>
          <t>Searched 2026-09-28, not added (weak or no match): FANTIAN 2-3 in river rock 5 lb (B0CHR45RG5), small brand; alt B0H2WMLM1M. Avoid polished rock, which can be wax coated.</t>
        </is>
      </c>
    </row>
    <row r="110">
      <c r="A110" s="42" t="inlineStr">
        <is>
          <t>4 Standard</t>
        </is>
      </c>
      <c r="B110" s="26" t="inlineStr">
        <is>
          <t>NEED</t>
        </is>
      </c>
      <c r="C110" s="44" t="inlineStr">
        <is>
          <t>Water testing</t>
        </is>
      </c>
      <c r="D110" s="28" t="inlineStr">
        <is>
          <t>TDS meter, handheld digital, 0 to 999 ppm</t>
        </is>
      </c>
      <c r="E110" s="29" t="n">
        <v>1</v>
      </c>
      <c r="F110" s="28" t="inlineStr">
        <is>
          <t>Cherry shrimp</t>
        </is>
      </c>
      <c r="G110" s="28" t="inlineStr">
        <is>
          <t>Hub</t>
        </is>
      </c>
      <c r="H110" s="28" t="inlineStr"/>
      <c r="I110" s="29" t="inlineStr">
        <is>
          <t>Added to catalog</t>
        </is>
      </c>
      <c r="J110" s="28" t="inlineStr">
        <is>
          <t>HM Digital TDS-3 Handheld TDS Meter</t>
        </is>
      </c>
      <c r="K110" s="29" t="inlineStr">
        <is>
          <t>Amazon</t>
        </is>
      </c>
      <c r="L110" s="28" t="inlineStr">
        <is>
          <t>https://www.amazon.com/dp/B000VTQM70</t>
        </is>
      </c>
      <c r="M110" s="30">
        <f>IF(ISNUMBER(SEARCH("/dp/",L110)),MID(L110,SEARCH("/dp/",L110)+4,10),"")</f>
        <v/>
      </c>
      <c r="N110" s="28" t="inlineStr">
        <is>
          <t>https://www.amazon.com/dp/B000VTQM70?tag=beastlyfacts-20</t>
        </is>
      </c>
      <c r="O110" s="29" t="inlineStr">
        <is>
          <t>check</t>
        </is>
      </c>
      <c r="P110" s="31" t="n"/>
      <c r="Q110" s="29" t="inlineStr">
        <is>
          <t>No</t>
        </is>
      </c>
      <c r="R110" s="32" t="inlineStr">
        <is>
          <t>2026-09-28</t>
        </is>
      </c>
      <c r="S110" s="28" t="inlineStr">
        <is>
          <t>PHOTO NEEDED: product-327.jpg = HM Digital TDS-3 Handheld TDS Meter (amazon.com/dp/B000VTQM70)
Catalog slug: tds-meter-hm-digital-tds3.</t>
        </is>
      </c>
    </row>
    <row r="111">
      <c r="A111" s="42" t="inlineStr">
        <is>
          <t>4 Standard</t>
        </is>
      </c>
      <c r="B111" s="39" t="inlineStr">
        <is>
          <t>COULD</t>
        </is>
      </c>
      <c r="C111" s="40" t="inlineStr">
        <is>
          <t>Health and first aid</t>
        </is>
      </c>
      <c r="D111" s="28" t="inlineStr">
        <is>
          <t>Bird- and small-pet-safe cage disinfectant</t>
        </is>
      </c>
      <c r="E111" s="29" t="n">
        <v>4</v>
      </c>
      <c r="F111" s="28" t="inlineStr">
        <is>
          <t>African grey, Cockatoo, Quaker parakeet, Gerbil</t>
        </is>
      </c>
      <c r="G111" s="28" t="inlineStr">
        <is>
          <t>Setup prose</t>
        </is>
      </c>
      <c r="H111" s="28" t="inlineStr"/>
      <c r="I111" s="29" t="inlineStr">
        <is>
          <t>Added to catalog</t>
        </is>
      </c>
      <c r="J111" s="28" t="inlineStr">
        <is>
          <t>REScue One-Step Ready to Use Disinfectant Cleaner</t>
        </is>
      </c>
      <c r="K111" s="29" t="inlineStr">
        <is>
          <t>Amazon</t>
        </is>
      </c>
      <c r="L111" s="28" t="inlineStr">
        <is>
          <t>https://www.amazon.com/dp/B01LY3JI7T</t>
        </is>
      </c>
      <c r="M111" s="30">
        <f>IF(ISNUMBER(SEARCH("/dp/",L111)),MID(L111,SEARCH("/dp/",L111)+4,10),"")</f>
        <v/>
      </c>
      <c r="N111" s="28" t="inlineStr">
        <is>
          <t>https://www.amazon.com/dp/B01LY3JI7T?tag=beastlyfacts-20</t>
        </is>
      </c>
      <c r="O111" s="29" t="inlineStr">
        <is>
          <t>check</t>
        </is>
      </c>
      <c r="P111" s="31" t="n"/>
      <c r="Q111" s="29" t="inlineStr">
        <is>
          <t>No</t>
        </is>
      </c>
      <c r="R111" s="32" t="inlineStr">
        <is>
          <t>2026-09-28</t>
        </is>
      </c>
      <c r="S111" s="28" t="inlineStr">
        <is>
          <t>PHOTO NEEDED: product-357.jpg = REScue One-Step Ready to Use Disinfectant Cleaner (amazon.com/dp/B01LY3JI7T)
Catalog slug: disinfectant-rescue-one-step-rtu.</t>
        </is>
      </c>
    </row>
    <row r="112">
      <c r="A112" s="42" t="inlineStr">
        <is>
          <t>4 Standard</t>
        </is>
      </c>
      <c r="B112" s="39" t="inlineStr">
        <is>
          <t>COULD</t>
        </is>
      </c>
      <c r="C112" s="43" t="inlineStr">
        <is>
          <t>Filtration</t>
        </is>
      </c>
      <c r="D112" s="28" t="inlineStr">
        <is>
          <t>Air pump and air stone sized for 55 to 75 gal, for supplemental oxygenation beside a canister</t>
        </is>
      </c>
      <c r="E112" s="29" t="n">
        <v>1</v>
      </c>
      <c r="F112" s="28" t="inlineStr">
        <is>
          <t>Discus</t>
        </is>
      </c>
      <c r="G112" s="28" t="inlineStr">
        <is>
          <t>Setup prose</t>
        </is>
      </c>
      <c r="H112" s="28" t="inlineStr"/>
      <c r="I112" s="29" t="inlineStr">
        <is>
          <t>To find</t>
        </is>
      </c>
      <c r="J112" s="28" t="n"/>
      <c r="K112" s="29" t="n"/>
      <c r="L112" s="28" t="n"/>
      <c r="M112" s="30">
        <f>IF(ISNUMBER(SEARCH("/dp/",L112)),MID(L112,SEARCH("/dp/",L112)+4,10),"")</f>
        <v/>
      </c>
      <c r="N112" s="28" t="n"/>
      <c r="O112" s="29" t="n"/>
      <c r="P112" s="31" t="n"/>
      <c r="Q112" s="29" t="n"/>
      <c r="R112" s="32" t="n"/>
      <c r="S112" s="28" t="inlineStr">
        <is>
          <t>Searched 2026-09-28, not added (weak or no match): Uniclife 64 GPH kit (B01EBXI7PG), small brand; or Tetra Whisper 60-100 gal, pump only (B004PB8SRM).</t>
        </is>
      </c>
    </row>
    <row r="113">
      <c r="A113" s="42" t="inlineStr">
        <is>
          <t>4 Standard</t>
        </is>
      </c>
      <c r="B113" s="39" t="inlineStr">
        <is>
          <t>COULD</t>
        </is>
      </c>
      <c r="C113" s="37" t="inlineStr">
        <is>
          <t>Substrate</t>
        </is>
      </c>
      <c r="D113" s="28" t="inlineStr">
        <is>
          <t>Drainage layer media (clay balls or hydroballs) with a substrate barrier mesh, for bioactive builds</t>
        </is>
      </c>
      <c r="E113" s="29" t="n">
        <v>1</v>
      </c>
      <c r="F113" s="28" t="inlineStr">
        <is>
          <t>Gargoyle gecko</t>
        </is>
      </c>
      <c r="G113" s="28" t="inlineStr">
        <is>
          <t>Setup prose</t>
        </is>
      </c>
      <c r="H113" s="28" t="inlineStr"/>
      <c r="I113" s="29" t="inlineStr">
        <is>
          <t>Added to catalog</t>
        </is>
      </c>
      <c r="J113" s="28" t="inlineStr">
        <is>
          <t>Josh's Frogs LECA Expanded Clay Pebbles</t>
        </is>
      </c>
      <c r="K113" s="29" t="inlineStr">
        <is>
          <t>Amazon</t>
        </is>
      </c>
      <c r="L113" s="28" t="inlineStr">
        <is>
          <t>https://www.amazon.com/dp/B00JJVBXHK</t>
        </is>
      </c>
      <c r="M113" s="30">
        <f>IF(ISNUMBER(SEARCH("/dp/",L113)),MID(L113,SEARCH("/dp/",L113)+4,10),"")</f>
        <v/>
      </c>
      <c r="N113" s="28" t="inlineStr">
        <is>
          <t>https://www.amazon.com/dp/B00JJVBXHK?tag=beastlyfacts-20</t>
        </is>
      </c>
      <c r="O113" s="29" t="inlineStr">
        <is>
          <t>check</t>
        </is>
      </c>
      <c r="P113" s="31" t="n"/>
      <c r="Q113" s="29" t="inlineStr">
        <is>
          <t>No</t>
        </is>
      </c>
      <c r="R113" s="32" t="inlineStr">
        <is>
          <t>2026-09-28</t>
        </is>
      </c>
      <c r="S113" s="28" t="inlineStr">
        <is>
          <t>PHOTO NEEDED: product-343.jpg = Josh's Frogs LECA Expanded Clay Pebbles (amazon.com/dp/B00JJVBXHK); product-344.jpg = Josh's Frogs Terrarium Substrate Barrier, 24x18 in (amazon.com/dp/B07D2KLX43)
Catalog slug: leca-joshs-frogs-false-bottom, substrate-barrier-joshs-frogs-24x18. Also added: Josh's Frogs Terrarium Substrate Barrier, 24x18 in (https://www.amazon.com/dp/B07D2KLX43).</t>
        </is>
      </c>
    </row>
    <row r="114">
      <c r="A114" s="45" t="inlineStr">
        <is>
          <t>5 Big ticket, later</t>
        </is>
      </c>
      <c r="B114" s="26" t="inlineStr">
        <is>
          <t>NEED</t>
        </is>
      </c>
      <c r="C114" s="38" t="inlineStr">
        <is>
          <t>Enclosures and cages</t>
        </is>
      </c>
      <c r="D114" s="28" t="inlineStr">
        <is>
          <t>PVC enclosure, 8x4x4 ft (the catalog 8 ft unit is only 2 ft deep and tall)</t>
        </is>
      </c>
      <c r="E114" s="29" t="n">
        <v>3</v>
      </c>
      <c r="F114" s="28" t="inlineStr">
        <is>
          <t>Argentine tegu, Savannah monitor, Uromastyx</t>
        </is>
      </c>
      <c r="G114" s="28" t="inlineStr">
        <is>
          <t>Hub, Cost</t>
        </is>
      </c>
      <c r="H114" s="28" t="inlineStr">
        <is>
          <t>(adult Egyptian)</t>
        </is>
      </c>
      <c r="I114" s="29" t="inlineStr">
        <is>
          <t>To find</t>
        </is>
      </c>
      <c r="J114" s="28" t="n"/>
      <c r="K114" s="29" t="n"/>
      <c r="L114" s="28" t="n"/>
      <c r="M114" s="30">
        <f>IF(ISNUMBER(SEARCH("/dp/",L114)),MID(L114,SEARCH("/dp/",L114)+4,10),"")</f>
        <v/>
      </c>
      <c r="N114" s="28" t="n"/>
      <c r="O114" s="29" t="n"/>
      <c r="P114" s="31" t="n"/>
      <c r="Q114" s="29" t="n"/>
      <c r="R114" s="32" t="n"/>
      <c r="S114" s="28" t="n"/>
    </row>
    <row r="115">
      <c r="A115" s="45" t="inlineStr">
        <is>
          <t>5 Big ticket, later</t>
        </is>
      </c>
      <c r="B115" s="26" t="inlineStr">
        <is>
          <t>NEED</t>
        </is>
      </c>
      <c r="C115" s="38" t="inlineStr">
        <is>
          <t>Enclosures and cages</t>
        </is>
      </c>
      <c r="D115" s="28" t="inlineStr">
        <is>
          <t>75-gallon glass aquarium, 48x18x21 in, tank only</t>
        </is>
      </c>
      <c r="E115" s="29" t="n">
        <v>2</v>
      </c>
      <c r="F115" s="28" t="inlineStr">
        <is>
          <t>Oscar, Discus</t>
        </is>
      </c>
      <c r="G115" s="28" t="inlineStr">
        <is>
          <t>Hub, Cost</t>
        </is>
      </c>
      <c r="H115" s="28" t="inlineStr"/>
      <c r="I115" s="29" t="inlineStr">
        <is>
          <t>To find</t>
        </is>
      </c>
      <c r="J115" s="28" t="n"/>
      <c r="K115" s="29" t="n"/>
      <c r="L115" s="28" t="n"/>
      <c r="M115" s="30">
        <f>IF(ISNUMBER(SEARCH("/dp/",L115)),MID(L115,SEARCH("/dp/",L115)+4,10),"")</f>
        <v/>
      </c>
      <c r="N115" s="28" t="n"/>
      <c r="O115" s="29" t="n"/>
      <c r="P115" s="31" t="n"/>
      <c r="Q115" s="29" t="n"/>
      <c r="R115" s="32" t="n"/>
      <c r="S115" s="28" t="n"/>
    </row>
    <row r="116">
      <c r="A116" s="45" t="inlineStr">
        <is>
          <t>5 Big ticket, later</t>
        </is>
      </c>
      <c r="B116" s="26" t="inlineStr">
        <is>
          <t>NEED</t>
        </is>
      </c>
      <c r="C116" s="38" t="inlineStr">
        <is>
          <t>Enclosures and cages</t>
        </is>
      </c>
      <c r="D116" s="28" t="inlineStr">
        <is>
          <t>Poly livestock stock tank, 100 to 300 gal</t>
        </is>
      </c>
      <c r="E116" s="29" t="n">
        <v>2</v>
      </c>
      <c r="F116" s="28" t="inlineStr">
        <is>
          <t>Red-footed tortoise, Koi</t>
        </is>
      </c>
      <c r="G116" s="28" t="inlineStr">
        <is>
          <t>Hub</t>
        </is>
      </c>
      <c r="H116" s="28" t="inlineStr">
        <is>
          <t>(adult enclosure) (quarantine system)</t>
        </is>
      </c>
      <c r="I116" s="29" t="inlineStr">
        <is>
          <t>To find</t>
        </is>
      </c>
      <c r="J116" s="28" t="n"/>
      <c r="K116" s="29" t="n"/>
      <c r="L116" s="28" t="n"/>
      <c r="M116" s="30">
        <f>IF(ISNUMBER(SEARCH("/dp/",L116)),MID(L116,SEARCH("/dp/",L116)+4,10),"")</f>
        <v/>
      </c>
      <c r="N116" s="28" t="n"/>
      <c r="O116" s="29" t="n"/>
      <c r="P116" s="31" t="n"/>
      <c r="Q116" s="29" t="n"/>
      <c r="R116" s="32" t="n"/>
      <c r="S116" s="28" t="n"/>
    </row>
    <row r="117">
      <c r="A117" s="45" t="inlineStr">
        <is>
          <t>5 Big ticket, later</t>
        </is>
      </c>
      <c r="B117" s="26" t="inlineStr">
        <is>
          <t>NEED</t>
        </is>
      </c>
      <c r="C117" s="38" t="inlineStr">
        <is>
          <t>Enclosures and cages</t>
        </is>
      </c>
      <c r="D117" s="28" t="inlineStr">
        <is>
          <t>HDPE or PVC enclosure, 6x3x6 ft, made to order</t>
        </is>
      </c>
      <c r="E117" s="29" t="n">
        <v>1</v>
      </c>
      <c r="F117" s="28" t="inlineStr">
        <is>
          <t>Green iguana</t>
        </is>
      </c>
      <c r="G117" s="28" t="inlineStr">
        <is>
          <t>Cost</t>
        </is>
      </c>
      <c r="H117" s="28" t="inlineStr"/>
      <c r="I117" s="29" t="inlineStr">
        <is>
          <t>To find</t>
        </is>
      </c>
      <c r="J117" s="28" t="n"/>
      <c r="K117" s="29" t="n"/>
      <c r="L117" s="28" t="n"/>
      <c r="M117" s="30">
        <f>IF(ISNUMBER(SEARCH("/dp/",L117)),MID(L117,SEARCH("/dp/",L117)+4,10),"")</f>
        <v/>
      </c>
      <c r="N117" s="28" t="n"/>
      <c r="O117" s="29" t="n"/>
      <c r="P117" s="31" t="n"/>
      <c r="Q117" s="29" t="n"/>
      <c r="R117" s="32" t="n"/>
      <c r="S117" s="28" t="n"/>
    </row>
    <row r="118">
      <c r="A118" s="45" t="inlineStr">
        <is>
          <t>5 Big ticket, later</t>
        </is>
      </c>
      <c r="B118" s="26" t="inlineStr">
        <is>
          <t>NEED</t>
        </is>
      </c>
      <c r="C118" s="38" t="inlineStr">
        <is>
          <t>Enclosures and cages</t>
        </is>
      </c>
      <c r="D118" s="28" t="inlineStr">
        <is>
          <t>PVC enclosure, 6x2x4 ft, ready made</t>
        </is>
      </c>
      <c r="E118" s="29" t="n">
        <v>1</v>
      </c>
      <c r="F118" s="28" t="inlineStr">
        <is>
          <t>Green iguana</t>
        </is>
      </c>
      <c r="G118" s="28" t="inlineStr">
        <is>
          <t>Cost</t>
        </is>
      </c>
      <c r="H118" s="28" t="inlineStr"/>
      <c r="I118" s="29" t="inlineStr">
        <is>
          <t>To find</t>
        </is>
      </c>
      <c r="J118" s="28" t="n"/>
      <c r="K118" s="29" t="n"/>
      <c r="L118" s="28" t="n"/>
      <c r="M118" s="30">
        <f>IF(ISNUMBER(SEARCH("/dp/",L118)),MID(L118,SEARCH("/dp/",L118)+4,10),"")</f>
        <v/>
      </c>
      <c r="N118" s="28" t="n"/>
      <c r="O118" s="29" t="n"/>
      <c r="P118" s="31" t="n"/>
      <c r="Q118" s="29" t="n"/>
      <c r="R118" s="32" t="n"/>
      <c r="S118" s="28" t="n"/>
    </row>
    <row r="119">
      <c r="A119" s="45" t="inlineStr">
        <is>
          <t>5 Big ticket, later</t>
        </is>
      </c>
      <c r="B119" s="26" t="inlineStr">
        <is>
          <t>NEED</t>
        </is>
      </c>
      <c r="C119" s="38" t="inlineStr">
        <is>
          <t>Enclosures and cages</t>
        </is>
      </c>
      <c r="D119" s="28" t="inlineStr">
        <is>
          <t>PVC enclosure, 8x2x4 ft, ready made</t>
        </is>
      </c>
      <c r="E119" s="29" t="n">
        <v>1</v>
      </c>
      <c r="F119" s="28" t="inlineStr">
        <is>
          <t>Green iguana</t>
        </is>
      </c>
      <c r="G119" s="28" t="inlineStr">
        <is>
          <t>Cost</t>
        </is>
      </c>
      <c r="H119" s="28" t="inlineStr"/>
      <c r="I119" s="29" t="inlineStr">
        <is>
          <t>To find</t>
        </is>
      </c>
      <c r="J119" s="28" t="n"/>
      <c r="K119" s="29" t="n"/>
      <c r="L119" s="28" t="n"/>
      <c r="M119" s="30">
        <f>IF(ISNUMBER(SEARCH("/dp/",L119)),MID(L119,SEARCH("/dp/",L119)+4,10),"")</f>
        <v/>
      </c>
      <c r="N119" s="28" t="n"/>
      <c r="O119" s="29" t="n"/>
      <c r="P119" s="31" t="n"/>
      <c r="Q119" s="29" t="n"/>
      <c r="R119" s="32" t="n"/>
      <c r="S119" s="28" t="n"/>
    </row>
    <row r="120">
      <c r="A120" s="46" t="inlineStr">
        <is>
          <t>6 Specialty supplier</t>
        </is>
      </c>
      <c r="B120" s="26" t="inlineStr">
        <is>
          <t>NEED</t>
        </is>
      </c>
      <c r="C120" s="36" t="inlineStr">
        <is>
          <t>Food and supplements</t>
        </is>
      </c>
      <c r="D120" s="28" t="inlineStr">
        <is>
          <t>Live crickets, sized from pinhead to adult</t>
        </is>
      </c>
      <c r="E120" s="29" t="n">
        <v>16</v>
      </c>
      <c r="F120" s="28" t="inlineStr">
        <is>
          <t>Fire-bellied toad, Pacman frog, Tiger salamander, African fat-tail gecko, Leopard gecko, Crested gecko, Tokay gecko, Leaf-tailed gecko, Mourning gecko, Green anole, Bearded dragon, Emperor scorpion, Praying mantis, Jumping spider, Tarantula, Hedgehog</t>
        </is>
      </c>
      <c r="G120" s="28" t="inlineStr">
        <is>
          <t>Hub, Cost</t>
        </is>
      </c>
      <c r="H120" s="28" t="inlineStr">
        <is>
          <t>(pinheads)</t>
        </is>
      </c>
      <c r="I120" s="29" t="inlineStr">
        <is>
          <t>To find</t>
        </is>
      </c>
      <c r="J120" s="28" t="n"/>
      <c r="K120" s="29" t="n"/>
      <c r="L120" s="28" t="n"/>
      <c r="M120" s="30">
        <f>IF(ISNUMBER(SEARCH("/dp/",L120)),MID(L120,SEARCH("/dp/",L120)+4,10),"")</f>
        <v/>
      </c>
      <c r="N120" s="28" t="n"/>
      <c r="O120" s="29" t="n"/>
      <c r="P120" s="31" t="n"/>
      <c r="Q120" s="29" t="n"/>
      <c r="R120" s="32" t="n"/>
      <c r="S120" s="28" t="n"/>
    </row>
    <row r="121">
      <c r="A121" s="46" t="inlineStr">
        <is>
          <t>6 Specialty supplier</t>
        </is>
      </c>
      <c r="B121" s="26" t="inlineStr">
        <is>
          <t>NEED</t>
        </is>
      </c>
      <c r="C121" s="36" t="inlineStr">
        <is>
          <t>Food and supplements</t>
        </is>
      </c>
      <c r="D121" s="28" t="inlineStr">
        <is>
          <t>Frozen feeder rodents, pinky mice through adult rats</t>
        </is>
      </c>
      <c r="E121" s="29" t="n">
        <v>8</v>
      </c>
      <c r="F121" s="28" t="inlineStr">
        <is>
          <t>Ball python, Boa constrictor, California kingsnake, Corn snake, Hognose snake, Milk snake, Rosy boa, Garter snake</t>
        </is>
      </c>
      <c r="G121" s="28" t="inlineStr">
        <is>
          <t>Hub, Cost</t>
        </is>
      </c>
      <c r="H121" s="28" t="inlineStr"/>
      <c r="I121" s="29" t="inlineStr">
        <is>
          <t>To find</t>
        </is>
      </c>
      <c r="J121" s="28" t="n"/>
      <c r="K121" s="29" t="n"/>
      <c r="L121" s="28" t="n"/>
      <c r="M121" s="30">
        <f>IF(ISNUMBER(SEARCH("/dp/",L121)),MID(L121,SEARCH("/dp/",L121)+4,10),"")</f>
        <v/>
      </c>
      <c r="N121" s="28" t="n"/>
      <c r="O121" s="29" t="n"/>
      <c r="P121" s="31" t="n"/>
      <c r="Q121" s="29" t="n"/>
      <c r="R121" s="32" t="n"/>
      <c r="S121" s="28" t="n"/>
    </row>
    <row r="122">
      <c r="A122" s="46" t="inlineStr">
        <is>
          <t>6 Specialty supplier</t>
        </is>
      </c>
      <c r="B122" s="26" t="inlineStr">
        <is>
          <t>NEED</t>
        </is>
      </c>
      <c r="C122" s="36" t="inlineStr">
        <is>
          <t>Food and supplements</t>
        </is>
      </c>
      <c r="D122" s="28" t="inlineStr">
        <is>
          <t>Other live feeders: mealworms, black soldier fly larvae, waxworms, silkworms, blackworms, bottle fly spikes</t>
        </is>
      </c>
      <c r="E122" s="29" t="n">
        <v>7</v>
      </c>
      <c r="F122" s="28" t="inlineStr">
        <is>
          <t>Leopard gecko, Fire-bellied toad, Emperor scorpion, Box turtle, Hedgehog, Sugar glider, Praying mantis</t>
        </is>
      </c>
      <c r="G122" s="28" t="inlineStr">
        <is>
          <t>Hub, Cost</t>
        </is>
      </c>
      <c r="H122" s="28" t="inlineStr">
        <is>
          <t>(BSFL) (bottle flies)</t>
        </is>
      </c>
      <c r="I122" s="29" t="inlineStr">
        <is>
          <t>To find</t>
        </is>
      </c>
      <c r="J122" s="28" t="n"/>
      <c r="K122" s="29" t="n"/>
      <c r="L122" s="28" t="n"/>
      <c r="M122" s="30">
        <f>IF(ISNUMBER(SEARCH("/dp/",L122)),MID(L122,SEARCH("/dp/",L122)+4,10),"")</f>
        <v/>
      </c>
      <c r="N122" s="28" t="n"/>
      <c r="O122" s="29" t="n"/>
      <c r="P122" s="31" t="n"/>
      <c r="Q122" s="29" t="n"/>
      <c r="R122" s="32" t="n"/>
      <c r="S122" s="28" t="n"/>
    </row>
    <row r="123">
      <c r="A123" s="46" t="inlineStr">
        <is>
          <t>6 Specialty supplier</t>
        </is>
      </c>
      <c r="B123" s="26" t="inlineStr">
        <is>
          <t>NEED</t>
        </is>
      </c>
      <c r="C123" s="36" t="inlineStr">
        <is>
          <t>Food and supplements</t>
        </is>
      </c>
      <c r="D123" s="28" t="inlineStr">
        <is>
          <t>Earthworms or nightcrawlers, live</t>
        </is>
      </c>
      <c r="E123" s="29" t="n">
        <v>6</v>
      </c>
      <c r="F123" s="28" t="inlineStr">
        <is>
          <t>Axolotl, Pacman frog, Tiger salamander, Fire-bellied toad, Garter snake, Box turtle</t>
        </is>
      </c>
      <c r="G123" s="28" t="inlineStr">
        <is>
          <t>Hub, Cost</t>
        </is>
      </c>
      <c r="H123" s="28" t="inlineStr">
        <is>
          <t>(staple)</t>
        </is>
      </c>
      <c r="I123" s="29" t="inlineStr">
        <is>
          <t>To find</t>
        </is>
      </c>
      <c r="J123" s="28" t="n"/>
      <c r="K123" s="29" t="n"/>
      <c r="L123" s="28" t="n"/>
      <c r="M123" s="30">
        <f>IF(ISNUMBER(SEARCH("/dp/",L123)),MID(L123,SEARCH("/dp/",L123)+4,10),"")</f>
        <v/>
      </c>
      <c r="N123" s="28" t="n"/>
      <c r="O123" s="29" t="n"/>
      <c r="P123" s="31" t="n"/>
      <c r="Q123" s="29" t="n"/>
      <c r="R123" s="32" t="n"/>
      <c r="S123" s="28" t="n"/>
    </row>
    <row r="124">
      <c r="A124" s="46" t="inlineStr">
        <is>
          <t>6 Specialty supplier</t>
        </is>
      </c>
      <c r="B124" s="26" t="inlineStr">
        <is>
          <t>NEED</t>
        </is>
      </c>
      <c r="C124" s="36" t="inlineStr">
        <is>
          <t>Food and supplements</t>
        </is>
      </c>
      <c r="D124" s="28" t="inlineStr">
        <is>
          <t>Live isopods and springtails culture, as feeders and bioactive cleanup crew</t>
        </is>
      </c>
      <c r="E124" s="29" t="n">
        <v>6</v>
      </c>
      <c r="F124" s="28" t="inlineStr">
        <is>
          <t>Leaf-tailed gecko, Bearded dragon, Gargoyle gecko, Mourning gecko, Giant millipede, Emperor scorpion</t>
        </is>
      </c>
      <c r="G124" s="28" t="inlineStr">
        <is>
          <t>Hub, Setup prose</t>
        </is>
      </c>
      <c r="H124" s="28" t="inlineStr"/>
      <c r="I124" s="29" t="inlineStr">
        <is>
          <t>To find</t>
        </is>
      </c>
      <c r="J124" s="28" t="n"/>
      <c r="K124" s="29" t="n"/>
      <c r="L124" s="28" t="n"/>
      <c r="M124" s="30">
        <f>IF(ISNUMBER(SEARCH("/dp/",L124)),MID(L124,SEARCH("/dp/",L124)+4,10),"")</f>
        <v/>
      </c>
      <c r="N124" s="28" t="n"/>
      <c r="O124" s="29" t="n"/>
      <c r="P124" s="31" t="n"/>
      <c r="Q124" s="29" t="n"/>
      <c r="R124" s="32" t="n"/>
      <c r="S124" s="28" t="n"/>
    </row>
    <row r="125">
      <c r="A125" s="46" t="inlineStr">
        <is>
          <t>6 Specialty supplier</t>
        </is>
      </c>
      <c r="B125" s="26" t="inlineStr">
        <is>
          <t>NEED</t>
        </is>
      </c>
      <c r="C125" s="36" t="inlineStr">
        <is>
          <t>Food and supplements</t>
        </is>
      </c>
      <c r="D125" s="28" t="inlineStr">
        <is>
          <t>Frozen thiaminase-free feeder fish (tilapia, salmon, or similar)</t>
        </is>
      </c>
      <c r="E125" s="29" t="n">
        <v>1</v>
      </c>
      <c r="F125" s="28" t="inlineStr">
        <is>
          <t>Garter snake</t>
        </is>
      </c>
      <c r="G125" s="28" t="inlineStr">
        <is>
          <t>Hub, Cost</t>
        </is>
      </c>
      <c r="H125" s="28" t="inlineStr"/>
      <c r="I125" s="29" t="inlineStr">
        <is>
          <t>To find</t>
        </is>
      </c>
      <c r="J125" s="28" t="n"/>
      <c r="K125" s="29" t="n"/>
      <c r="L125" s="28" t="n"/>
      <c r="M125" s="30">
        <f>IF(ISNUMBER(SEARCH("/dp/",L125)),MID(L125,SEARCH("/dp/",L125)+4,10),"")</f>
        <v/>
      </c>
      <c r="N125" s="28" t="n"/>
      <c r="O125" s="29" t="n"/>
      <c r="P125" s="31" t="n"/>
      <c r="Q125" s="29" t="n"/>
      <c r="R125" s="32" t="n"/>
      <c r="S125" s="28" t="n"/>
    </row>
    <row r="126">
      <c r="A126" s="46" t="inlineStr">
        <is>
          <t>6 Specialty supplier</t>
        </is>
      </c>
      <c r="B126" s="26" t="inlineStr">
        <is>
          <t>NEED</t>
        </is>
      </c>
      <c r="C126" s="36" t="inlineStr">
        <is>
          <t>Food and supplements</t>
        </is>
      </c>
      <c r="D126" s="28" t="inlineStr">
        <is>
          <t>Live bramble or blackberry host plant, potted</t>
        </is>
      </c>
      <c r="E126" s="29" t="n">
        <v>1</v>
      </c>
      <c r="F126" s="28" t="inlineStr">
        <is>
          <t>Stick insect</t>
        </is>
      </c>
      <c r="G126" s="28" t="inlineStr">
        <is>
          <t>Hub</t>
        </is>
      </c>
      <c r="H126" s="28" t="inlineStr"/>
      <c r="I126" s="29" t="inlineStr">
        <is>
          <t>To find</t>
        </is>
      </c>
      <c r="J126" s="28" t="n"/>
      <c r="K126" s="29" t="n"/>
      <c r="L126" s="28" t="n"/>
      <c r="M126" s="30">
        <f>IF(ISNUMBER(SEARCH("/dp/",L126)),MID(L126,SEARCH("/dp/",L126)+4,10),"")</f>
        <v/>
      </c>
      <c r="N126" s="28" t="n"/>
      <c r="O126" s="29" t="n"/>
      <c r="P126" s="31" t="n"/>
      <c r="Q126" s="29" t="n"/>
      <c r="R126" s="32" t="n"/>
      <c r="S126" s="28" t="n"/>
    </row>
  </sheetData>
  <autoFilter ref="A14:S126"/>
  <mergeCells count="18">
    <mergeCell ref="A4:B4"/>
    <mergeCell ref="C8:G8"/>
    <mergeCell ref="A6:B6"/>
    <mergeCell ref="C4:G4"/>
    <mergeCell ref="C7:G7"/>
    <mergeCell ref="A7:B7"/>
    <mergeCell ref="C6:G6"/>
    <mergeCell ref="C10:G10"/>
    <mergeCell ref="A1:S1"/>
    <mergeCell ref="A5:B5"/>
    <mergeCell ref="A10:B10"/>
    <mergeCell ref="C12:S12"/>
    <mergeCell ref="C5:G5"/>
    <mergeCell ref="A9:B9"/>
    <mergeCell ref="A11:G11"/>
    <mergeCell ref="A8:B8"/>
    <mergeCell ref="C9:G9"/>
    <mergeCell ref="A2:S2"/>
  </mergeCells>
  <conditionalFormatting sqref="I15:I126">
    <cfRule type="expression" priority="1" dxfId="0">
      <formula>$I15="To find"</formula>
    </cfRule>
    <cfRule type="expression" priority="2" dxfId="1">
      <formula>$I15="Link found"</formula>
    </cfRule>
    <cfRule type="expression" priority="4" dxfId="2">
      <formula>$I15="Added to catalog"</formula>
    </cfRule>
    <cfRule type="expression" priority="5" dxfId="3">
      <formula>$I15="Skip"</formula>
    </cfRule>
  </conditionalFormatting>
  <conditionalFormatting sqref="A15:S126">
    <cfRule type="expression" priority="3" dxfId="4">
      <formula>$I15="Added to catalog"</formula>
    </cfRule>
  </conditionalFormatting>
  <conditionalFormatting sqref="E15:E126">
    <cfRule type="expression" priority="6" dxfId="5">
      <formula>$E15&gt;=7</formula>
    </cfRule>
  </conditionalFormatting>
  <dataValidations count="4">
    <dataValidation sqref="I15:I126" showDropDown="0" showInputMessage="0" showErrorMessage="0" allowBlank="1" type="list">
      <formula1>"To find,Link found,Added to catalog,Skip"</formula1>
    </dataValidation>
    <dataValidation sqref="K15:K126" showDropDown="0" showInputMessage="0" showErrorMessage="0" allowBlank="1" type="list">
      <formula1>"Amazon,Chewy,Other"</formula1>
    </dataValidation>
    <dataValidation sqref="Q15:Q126" showDropDown="0" showInputMessage="0" showErrorMessage="0" allowBlank="1" type="list">
      <formula1>"Yes,No"</formula1>
    </dataValidation>
    <dataValidation sqref="P15:P126" showDropDown="0" showInputMessage="0" showErrorMessage="0" allowBlank="1" type="decimal" operator="between">
      <formula1>0</formula1>
      <formula2>5</formula2>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2026-09-27T23:58:17Z</dcterms:created>
  <dcterms:modified xsi:type="dcterms:W3CDTF">2026-09-28T09:36:36Z</dcterms:modified>
</cp:coreProperties>
</file>