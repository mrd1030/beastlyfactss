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eds Product" sheetId="1" state="visible" r:id="rId1"/>
  </sheets>
  <definedNames>
    <definedName name="_xlnm._FilterDatabase" localSheetId="0" hidden="1">'Needs Product'!$A$14:$S$126</definedName>
    <definedName name="_xlnm.Print_Titles" localSheetId="0">'Needs Product'!$14:$14</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4">
    <font>
      <name val="Calibri"/>
      <family val="2"/>
      <color theme="1"/>
      <sz val="11"/>
      <scheme val="minor"/>
    </font>
    <font>
      <name val="Arial"/>
      <b val="1"/>
      <color rgb="001B2631"/>
      <sz val="16"/>
    </font>
    <font>
      <name val="Arial"/>
      <i val="1"/>
      <color rgb="00566573"/>
      <sz val="10"/>
    </font>
    <font>
      <name val="Arial"/>
      <b val="1"/>
      <color rgb="00FFFFFF"/>
    </font>
    <font>
      <name val="Arial"/>
      <sz val="10"/>
    </font>
    <font>
      <name val="Arial"/>
      <b val="1"/>
    </font>
    <font>
      <name val="Arial"/>
      <i val="1"/>
      <color rgb="00566573"/>
      <sz val="9"/>
    </font>
    <font>
      <name val="Arial"/>
      <b val="1"/>
      <color rgb="00566573"/>
      <sz val="9"/>
    </font>
    <font>
      <name val="Arial"/>
      <color rgb="00566573"/>
      <sz val="9"/>
    </font>
    <font>
      <name val="Arial"/>
      <b val="1"/>
      <color rgb="001B2631"/>
    </font>
    <font>
      <name val="Arial"/>
      <color rgb="001B2631"/>
      <sz val="10"/>
    </font>
    <font>
      <name val="Arial"/>
      <b val="1"/>
      <color rgb="00FFFFFF"/>
      <sz val="10"/>
    </font>
    <font>
      <name val="Arial"/>
      <b val="1"/>
      <color rgb="00C0392B"/>
      <sz val="10"/>
    </font>
    <font>
      <name val="Arial"/>
      <b val="1"/>
      <color rgb="007F8C8D"/>
      <sz val="10"/>
    </font>
  </fonts>
  <fills count="24">
    <fill>
      <patternFill/>
    </fill>
    <fill>
      <patternFill patternType="gray125"/>
    </fill>
    <fill>
      <patternFill patternType="solid">
        <fgColor rgb="001B2631"/>
      </patternFill>
    </fill>
    <fill>
      <patternFill patternType="solid">
        <fgColor rgb="00C0392B"/>
      </patternFill>
    </fill>
    <fill>
      <patternFill patternType="solid">
        <fgColor rgb="00E67E22"/>
      </patternFill>
    </fill>
    <fill>
      <patternFill patternType="solid">
        <fgColor rgb="0027AE60"/>
      </patternFill>
    </fill>
    <fill>
      <patternFill patternType="solid">
        <fgColor rgb="002E86C1"/>
      </patternFill>
    </fill>
    <fill>
      <patternFill patternType="solid">
        <fgColor rgb="007D3C98"/>
      </patternFill>
    </fill>
    <fill>
      <patternFill patternType="solid">
        <fgColor rgb="005D6D7E"/>
      </patternFill>
    </fill>
    <fill>
      <patternFill patternType="solid">
        <fgColor rgb="00FADBD8"/>
      </patternFill>
    </fill>
    <fill>
      <patternFill patternType="solid">
        <fgColor rgb="00FCF3CF"/>
      </patternFill>
    </fill>
    <fill>
      <patternFill patternType="solid">
        <fgColor rgb="00D5F5E3"/>
      </patternFill>
    </fill>
    <fill>
      <patternFill patternType="solid">
        <fgColor rgb="00E5E7E9"/>
      </patternFill>
    </fill>
    <fill>
      <patternFill patternType="solid">
        <fgColor rgb="00F9E79F"/>
      </patternFill>
    </fill>
    <fill>
      <patternFill patternType="solid">
        <fgColor rgb="00D6EAF8"/>
      </patternFill>
    </fill>
    <fill>
      <patternFill patternType="solid">
        <fgColor rgb="00F2F3F4"/>
      </patternFill>
    </fill>
    <fill>
      <patternFill patternType="solid">
        <fgColor rgb="00FDEDEC"/>
      </patternFill>
    </fill>
    <fill>
      <patternFill patternType="solid">
        <fgColor rgb="00FEF9E7"/>
      </patternFill>
    </fill>
    <fill>
      <patternFill patternType="solid">
        <fgColor rgb="00EAFAF1"/>
      </patternFill>
    </fill>
    <fill>
      <patternFill patternType="solid">
        <fgColor rgb="00F6EDE3"/>
      </patternFill>
    </fill>
    <fill>
      <patternFill patternType="solid">
        <fgColor rgb="00F4ECF7"/>
      </patternFill>
    </fill>
    <fill>
      <patternFill patternType="solid">
        <fgColor rgb="00FDEBD0"/>
      </patternFill>
    </fill>
    <fill>
      <patternFill patternType="solid">
        <fgColor rgb="00EBF5FB"/>
      </patternFill>
    </fill>
    <fill>
      <patternFill patternType="solid">
        <fgColor rgb="00E8F8F5"/>
      </patternFill>
    </fill>
  </fills>
  <borders count="6">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3" fillId="3" borderId="1" pivotButton="0" quotePrefix="0" xfId="0"/>
    <xf numFmtId="0" fontId="0" fillId="0" borderId="1" pivotButton="0" quotePrefix="0" xfId="0"/>
    <xf numFmtId="0" fontId="4" fillId="0" borderId="1" pivotButton="0" quotePrefix="0" xfId="0"/>
    <xf numFmtId="0" fontId="5" fillId="0" borderId="1" pivotButton="0" quotePrefix="0" xfId="0"/>
    <xf numFmtId="0" fontId="5" fillId="9" borderId="1" pivotButton="0" quotePrefix="0" xfId="0"/>
    <xf numFmtId="0" fontId="3" fillId="4" borderId="1" pivotButton="0" quotePrefix="0" xfId="0"/>
    <xf numFmtId="0" fontId="5" fillId="10" borderId="1" pivotButton="0" quotePrefix="0" xfId="0"/>
    <xf numFmtId="0" fontId="3" fillId="5" borderId="1" pivotButton="0" quotePrefix="0" xfId="0"/>
    <xf numFmtId="0" fontId="5" fillId="11" borderId="1" pivotButton="0" quotePrefix="0" xfId="0"/>
    <xf numFmtId="0" fontId="3" fillId="6" borderId="1" pivotButton="0" quotePrefix="0" xfId="0"/>
    <xf numFmtId="0" fontId="5" fillId="12" borderId="1" pivotButton="0" quotePrefix="0" xfId="0"/>
    <xf numFmtId="0" fontId="3" fillId="7" borderId="1" pivotButton="0" quotePrefix="0" xfId="0"/>
    <xf numFmtId="0" fontId="5" fillId="0" borderId="0" pivotButton="0" quotePrefix="0" xfId="0"/>
    <xf numFmtId="9" fontId="5" fillId="0" borderId="0" pivotButton="0" quotePrefix="0" xfId="0"/>
    <xf numFmtId="0" fontId="6" fillId="0" borderId="0" pivotButton="0" quotePrefix="0" xfId="0"/>
    <xf numFmtId="0" fontId="3" fillId="8" borderId="1" pivotButton="0" quotePrefix="0" xfId="0"/>
    <xf numFmtId="0" fontId="7" fillId="0" borderId="0" pivotButton="0" quotePrefix="0" xfId="0"/>
    <xf numFmtId="0" fontId="8" fillId="0" borderId="0" pivotButton="0" quotePrefix="0" xfId="0"/>
    <xf numFmtId="0" fontId="3" fillId="2" borderId="1" applyAlignment="1" pivotButton="0" quotePrefix="0" xfId="0">
      <alignment horizontal="center"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11" fillId="3" borderId="1" applyAlignment="1" pivotButton="0" quotePrefix="0" xfId="0">
      <alignment horizontal="left" vertical="top" wrapText="1"/>
    </xf>
    <xf numFmtId="0" fontId="12" fillId="0" borderId="1" applyAlignment="1" pivotButton="0" quotePrefix="0" xfId="0">
      <alignment horizontal="center" vertical="top" wrapText="1"/>
    </xf>
    <xf numFmtId="0" fontId="4" fillId="15"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10" fillId="0" borderId="1" applyAlignment="1" pivotButton="0" quotePrefix="0" xfId="0">
      <alignment horizontal="center" vertical="top" wrapText="1"/>
    </xf>
    <xf numFmtId="164" fontId="4" fillId="0" borderId="1" applyAlignment="1" pivotButton="0" quotePrefix="0" xfId="0">
      <alignment horizontal="center" vertical="top" wrapText="1"/>
    </xf>
    <xf numFmtId="165" fontId="4" fillId="0" borderId="1" applyAlignment="1" pivotButton="0" quotePrefix="0" xfId="0">
      <alignment horizontal="center" vertical="top" wrapText="1"/>
    </xf>
    <xf numFmtId="0" fontId="4" fillId="16" borderId="1" applyAlignment="1" pivotButton="0" quotePrefix="0" xfId="0">
      <alignment horizontal="left" vertical="top" wrapText="1"/>
    </xf>
    <xf numFmtId="0" fontId="11" fillId="4" borderId="1" applyAlignment="1" pivotButton="0" quotePrefix="0" xfId="0">
      <alignment horizontal="left" vertical="top" wrapText="1"/>
    </xf>
    <xf numFmtId="0" fontId="4" fillId="17"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13" fillId="0" borderId="1" applyAlignment="1" pivotButton="0" quotePrefix="0" xfId="0">
      <alignment horizontal="center" vertical="top" wrapText="1"/>
    </xf>
    <xf numFmtId="0" fontId="4" fillId="21" borderId="1" applyAlignment="1" pivotButton="0" quotePrefix="0" xfId="0">
      <alignment horizontal="left" vertical="top" wrapText="1"/>
    </xf>
    <xf numFmtId="0" fontId="11" fillId="5" borderId="1" applyAlignment="1" pivotButton="0" quotePrefix="0" xfId="0">
      <alignment horizontal="left" vertical="top" wrapText="1"/>
    </xf>
    <xf numFmtId="0" fontId="11" fillId="6" borderId="1" applyAlignment="1" pivotButton="0" quotePrefix="0" xfId="0">
      <alignment horizontal="left" vertical="top" wrapText="1"/>
    </xf>
    <xf numFmtId="0" fontId="4" fillId="22" borderId="1" applyAlignment="1" pivotButton="0" quotePrefix="0" xfId="0">
      <alignment horizontal="left" vertical="top" wrapText="1"/>
    </xf>
    <xf numFmtId="0" fontId="4" fillId="23" borderId="1" applyAlignment="1" pivotButton="0" quotePrefix="0" xfId="0">
      <alignment horizontal="left" vertical="top" wrapText="1"/>
    </xf>
    <xf numFmtId="0" fontId="11" fillId="7" borderId="1" applyAlignment="1" pivotButton="0" quotePrefix="0" xfId="0">
      <alignment horizontal="left" vertical="top" wrapText="1"/>
    </xf>
    <xf numFmtId="0" fontId="11" fillId="8" borderId="1" applyAlignment="1" pivotButton="0" quotePrefix="0" xfId="0">
      <alignment horizontal="left" vertical="top" wrapText="1"/>
    </xf>
    <xf numFmtId="0" fontId="0" fillId="0" borderId="5" pivotButton="0" quotePrefix="0" xfId="0"/>
    <xf numFmtId="0" fontId="0" fillId="0" borderId="4" pivotButton="0" quotePrefix="0" xfId="0"/>
  </cellXfs>
  <cellStyles count="1">
    <cellStyle name="Normal" xfId="0" builtinId="0" hidden="0"/>
  </cellStyles>
  <dxfs count="6">
    <dxf>
      <fill>
        <patternFill patternType="solid">
          <fgColor rgb="00FADBD8"/>
          <bgColor rgb="00FADBD8"/>
        </patternFill>
      </fill>
    </dxf>
    <dxf>
      <fill>
        <patternFill patternType="solid">
          <fgColor rgb="00FCF3CF"/>
          <bgColor rgb="00FCF3CF"/>
        </patternFill>
      </fill>
    </dxf>
    <dxf>
      <fill>
        <patternFill patternType="solid">
          <fgColor rgb="00D5F5E3"/>
          <bgColor rgb="00D5F5E3"/>
        </patternFill>
      </fill>
    </dxf>
    <dxf>
      <fill>
        <patternFill patternType="solid">
          <fgColor rgb="00E5E7E9"/>
          <bgColor rgb="00E5E7E9"/>
        </patternFill>
      </fill>
    </dxf>
    <dxf>
      <font>
        <strike val="1"/>
        <color rgb="007F8C8D"/>
      </font>
    </dxf>
    <dxf>
      <font>
        <b val="1"/>
        <color rgb="00E67E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126"/>
  <sheetViews>
    <sheetView zoomScale="90" workbookViewId="0">
      <pane xSplit="4" ySplit="14" topLeftCell="E1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9" customWidth="1" min="2" max="2"/>
    <col width="20" customWidth="1" min="3" max="3"/>
    <col width="52" customWidth="1" min="4" max="4"/>
    <col width="10" customWidth="1" min="5" max="5"/>
    <col width="48" customWidth="1" min="6" max="6"/>
    <col width="18" customWidth="1" min="7" max="7"/>
    <col width="34" customWidth="1" min="8" max="8"/>
    <col width="17" customWidth="1" min="9" max="9"/>
    <col width="30" customWidth="1" min="10" max="10"/>
    <col width="12" customWidth="1" min="11" max="11"/>
    <col width="40" customWidth="1" min="12" max="12"/>
    <col width="14" customWidth="1" min="13" max="13"/>
    <col width="30" customWidth="1" min="14" max="14"/>
    <col width="13" customWidth="1" min="15" max="15"/>
    <col width="9" customWidth="1" min="16" max="16"/>
    <col width="11" customWidth="1" min="17" max="17"/>
    <col width="12" customWidth="1" min="18" max="18"/>
    <col width="30" customWidth="1" min="19" max="19"/>
  </cols>
  <sheetData>
    <row r="1">
      <c r="A1" s="1" t="inlineStr">
        <is>
          <t>BeastlyFacts: Products Needed for the /gear Catalog</t>
        </is>
      </c>
    </row>
    <row r="2">
      <c r="A2" s="2" t="inlineStr">
        <is>
          <t>From NEEDS_PRODUCT.md, snapshot 2026-09-25. Sorted by priority tier, then by how many species pages name the item. Fill in the yellow columns (Status onward) as you source each item. ASIN (blue header) fills itself from the Amazon DP link. Price range uses the catalog format, for example $11-$19.</t>
        </is>
      </c>
    </row>
    <row r="4">
      <c r="A4" s="3" t="inlineStr">
        <is>
          <t>Priority tier</t>
        </is>
      </c>
      <c r="C4" s="3" t="inlineStr">
        <is>
          <t>What it means</t>
        </is>
      </c>
      <c r="H4" s="3" t="inlineStr">
        <is>
          <t>Items</t>
        </is>
      </c>
      <c r="I4" s="3" t="inlineStr">
        <is>
          <t>Status</t>
        </is>
      </c>
      <c r="J4" s="3" t="inlineStr">
        <is>
          <t>Items</t>
        </is>
      </c>
    </row>
    <row r="5">
      <c r="A5" s="4" t="inlineStr">
        <is>
          <t>1 Seasonal: do now</t>
        </is>
      </c>
      <c r="B5" s="47" t="n"/>
      <c r="C5" s="6" t="inlineStr">
        <is>
          <t>Fall and winter heating and humidity. Pond de-icer before the first freeze.</t>
        </is>
      </c>
      <c r="D5" s="48" t="n"/>
      <c r="E5" s="48" t="n"/>
      <c r="F5" s="48" t="n"/>
      <c r="G5" s="47" t="n"/>
      <c r="H5" s="7">
        <f>COUNTIF($A$15:$A$126,"1 Seasonal: do now")</f>
        <v/>
      </c>
      <c r="I5" s="8" t="inlineStr">
        <is>
          <t>To find</t>
        </is>
      </c>
      <c r="J5" s="7">
        <f>COUNTIF($I$15:$I$126,"To find")</f>
        <v/>
      </c>
    </row>
    <row r="6">
      <c r="A6" s="9" t="inlineStr">
        <is>
          <t>2 Wide reach</t>
        </is>
      </c>
      <c r="B6" s="47" t="n"/>
      <c r="C6" s="6" t="inlineStr">
        <is>
          <t>Named on 7 or more species pages: one link fixes many pages.</t>
        </is>
      </c>
      <c r="D6" s="48" t="n"/>
      <c r="E6" s="48" t="n"/>
      <c r="F6" s="48" t="n"/>
      <c r="G6" s="47" t="n"/>
      <c r="H6" s="7">
        <f>COUNTIF($A$15:$A$126,"2 Wide reach")</f>
        <v/>
      </c>
      <c r="I6" s="10" t="inlineStr">
        <is>
          <t>Link found</t>
        </is>
      </c>
      <c r="J6" s="7">
        <f>COUNTIF($I$15:$I$126,"Link found")</f>
        <v/>
      </c>
    </row>
    <row r="7">
      <c r="A7" s="11" t="inlineStr">
        <is>
          <t>3 Repeat purchase</t>
        </is>
      </c>
      <c r="B7" s="47" t="n"/>
      <c r="C7" s="6" t="inlineStr">
        <is>
          <t>Food and consumables people rebuy, so a link can earn more than once.</t>
        </is>
      </c>
      <c r="D7" s="48" t="n"/>
      <c r="E7" s="48" t="n"/>
      <c r="F7" s="48" t="n"/>
      <c r="G7" s="47" t="n"/>
      <c r="H7" s="7">
        <f>COUNTIF($A$15:$A$126,"3 Repeat purchase")</f>
        <v/>
      </c>
      <c r="I7" s="12" t="inlineStr">
        <is>
          <t>Added to catalog</t>
        </is>
      </c>
      <c r="J7" s="7">
        <f>COUNTIF($I$15:$I$126,"Added to catalog")</f>
        <v/>
      </c>
    </row>
    <row r="8">
      <c r="A8" s="13" t="inlineStr">
        <is>
          <t>4 Standard</t>
        </is>
      </c>
      <c r="B8" s="47" t="n"/>
      <c r="C8" s="6" t="inlineStr">
        <is>
          <t>Everything else, roughly by reach.</t>
        </is>
      </c>
      <c r="D8" s="48" t="n"/>
      <c r="E8" s="48" t="n"/>
      <c r="F8" s="48" t="n"/>
      <c r="G8" s="47" t="n"/>
      <c r="H8" s="7">
        <f>COUNTIF($A$15:$A$126,"4 Standard")</f>
        <v/>
      </c>
      <c r="I8" s="14" t="inlineStr">
        <is>
          <t>Skip</t>
        </is>
      </c>
      <c r="J8" s="7">
        <f>COUNTIF($I$15:$I$126,"Skip")</f>
        <v/>
      </c>
    </row>
    <row r="9">
      <c r="A9" s="15" t="inlineStr">
        <is>
          <t>5 Big ticket, later</t>
        </is>
      </c>
      <c r="B9" s="47" t="n"/>
      <c r="C9" s="6" t="inlineStr">
        <is>
          <t>Large or custom enclosures, often freight shipped. Lower conversion.</t>
        </is>
      </c>
      <c r="D9" s="48" t="n"/>
      <c r="E9" s="48" t="n"/>
      <c r="F9" s="48" t="n"/>
      <c r="G9" s="47" t="n"/>
      <c r="H9" s="7">
        <f>COUNTIF($A$15:$A$126,"5 Big ticket, later")</f>
        <v/>
      </c>
      <c r="I9" s="16" t="inlineStr">
        <is>
          <t>Done</t>
        </is>
      </c>
      <c r="J9" s="17">
        <f>IFERROR(J7/(J5+J6+J7),0)</f>
        <v/>
      </c>
      <c r="K9" s="18" t="inlineStr">
        <is>
          <t>share of non-skipped items added</t>
        </is>
      </c>
    </row>
    <row r="10">
      <c r="A10" s="19" t="inlineStr">
        <is>
          <t>6 Specialty supplier</t>
        </is>
      </c>
      <c r="B10" s="47" t="n"/>
      <c r="C10" s="6" t="inlineStr">
        <is>
          <t>Live or frozen animals and live plants. Big general stores usually do not sell these.</t>
        </is>
      </c>
      <c r="D10" s="48" t="n"/>
      <c r="E10" s="48" t="n"/>
      <c r="F10" s="48" t="n"/>
      <c r="G10" s="47" t="n"/>
      <c r="H10" s="7">
        <f>COUNTIF($A$15:$A$126,"6 Specialty supplier")</f>
        <v/>
      </c>
    </row>
    <row r="11">
      <c r="A11" s="16" t="inlineStr">
        <is>
          <t>Total</t>
        </is>
      </c>
      <c r="H11" s="16">
        <f>SUM(H5:H10)</f>
        <v/>
      </c>
    </row>
    <row r="12">
      <c r="A12" s="20" t="inlineStr">
        <is>
          <t>Category colors (column C):</t>
        </is>
      </c>
      <c r="C12" s="21" t="inlineStr">
        <is>
          <t>Heating  Lighting  Filtration  Water testing  Enclosures and cages  Substrate  Food and supplements  Health and first aid  Other</t>
        </is>
      </c>
    </row>
    <row r="14" ht="32" customHeight="1">
      <c r="A14" s="22" t="inlineStr">
        <is>
          <t>Priority tier</t>
        </is>
      </c>
      <c r="B14" s="22" t="inlineStr">
        <is>
          <t>Level</t>
        </is>
      </c>
      <c r="C14" s="22" t="inlineStr">
        <is>
          <t>Category</t>
        </is>
      </c>
      <c r="D14" s="22" t="inlineStr">
        <is>
          <t>Product and spec to match</t>
        </is>
      </c>
      <c r="E14" s="22" t="inlineStr">
        <is>
          <t>Species pages</t>
        </is>
      </c>
      <c r="F14" s="22" t="inlineStr">
        <is>
          <t>Species that name it</t>
        </is>
      </c>
      <c r="G14" s="22" t="inlineStr">
        <is>
          <t>Named on</t>
        </is>
      </c>
      <c r="H14" s="22" t="inlineStr">
        <is>
          <t>Notes</t>
        </is>
      </c>
      <c r="I14" s="23" t="inlineStr">
        <is>
          <t>Status</t>
        </is>
      </c>
      <c r="J14" s="23" t="inlineStr">
        <is>
          <t>Product name</t>
        </is>
      </c>
      <c r="K14" s="23" t="inlineStr">
        <is>
          <t>Retailer</t>
        </is>
      </c>
      <c r="L14" s="23" t="inlineStr">
        <is>
          <t>Amazon DP link (full URL)</t>
        </is>
      </c>
      <c r="M14" s="24" t="inlineStr">
        <is>
          <t>ASIN (auto)</t>
        </is>
      </c>
      <c r="N14" s="23" t="inlineStr">
        <is>
          <t>Affiliate link (amzn.to)</t>
        </is>
      </c>
      <c r="O14" s="23" t="inlineStr">
        <is>
          <t>Price range</t>
        </is>
      </c>
      <c r="P14" s="23" t="inlineStr">
        <is>
          <t>Rating</t>
        </is>
      </c>
      <c r="Q14" s="23" t="inlineStr">
        <is>
          <t>Image saved</t>
        </is>
      </c>
      <c r="R14" s="23" t="inlineStr">
        <is>
          <t>Date added</t>
        </is>
      </c>
      <c r="S14" s="23" t="inlineStr">
        <is>
          <t>My notes</t>
        </is>
      </c>
    </row>
    <row r="15">
      <c r="A15" s="25" t="inlineStr">
        <is>
          <t>1 Seasonal: do now</t>
        </is>
      </c>
      <c r="B15" s="26" t="inlineStr">
        <is>
          <t>NEED</t>
        </is>
      </c>
      <c r="C15" s="27" t="inlineStr">
        <is>
          <t>Other</t>
        </is>
      </c>
      <c r="D15" s="28" t="inlineStr">
        <is>
          <t>Cool-mist humidifier with a plug-in humidistat</t>
        </is>
      </c>
      <c r="E15" s="29" t="n">
        <v>5</v>
      </c>
      <c r="F15" s="28" t="inlineStr">
        <is>
          <t>Jackson's chameleon, Veiled chameleon, Green anole, Conure, Hedgehog</t>
        </is>
      </c>
      <c r="G15" s="28" t="inlineStr">
        <is>
          <t>Hub, Setup prose</t>
        </is>
      </c>
      <c r="H15" s="28" t="inlineStr">
        <is>
          <t>(room) (room)</t>
        </is>
      </c>
      <c r="I15" s="29" t="inlineStr">
        <is>
          <t>Added to catalog</t>
        </is>
      </c>
      <c r="J15" s="28" t="inlineStr">
        <is>
          <t>Inkbird IHC200 Plug-In Humidity Controller (Humidistat)</t>
        </is>
      </c>
      <c r="K15" s="29" t="inlineStr">
        <is>
          <t>Amazon</t>
        </is>
      </c>
      <c r="L15" s="28" t="inlineStr">
        <is>
          <t>https://www.amazon.com/dp/B01J1E5LWM</t>
        </is>
      </c>
      <c r="M15" s="30">
        <f>IF(ISNUMBER(SEARCH("/dp/",L15)),MID(L15,SEARCH("/dp/",L15)+4,10),"")</f>
        <v/>
      </c>
      <c r="N15" s="28" t="inlineStr">
        <is>
          <t>https://www.amazon.com/dp/B01J1E5LWM?tag=beastlyfacts-20</t>
        </is>
      </c>
      <c r="O15" s="29" t="inlineStr">
        <is>
          <t>check</t>
        </is>
      </c>
      <c r="P15" s="31" t="n"/>
      <c r="Q15" s="29" t="inlineStr">
        <is>
          <t>No</t>
        </is>
      </c>
      <c r="R15" s="32" t="inlineStr">
        <is>
          <t>2026-09-28</t>
        </is>
      </c>
      <c r="S15" s="28" t="inlineStr">
        <is>
          <t>Catalog slug: humidistat-inkbird-ihc200, humidifier-everlasting-comfort-6l. Also added: Everlasting Comfort 6L Cool Mist Ultrasonic Humidifier (https://www.amazon.com/dp/B077Z2QCS5). Sourced 2026-09-28 from Amazon search results; price not visible from here. Two parts. Humidifier: Everlasting Comfort 6L Cool Mist (B077Z2QCS5); alt Levoit 6L (B08HS45N13). The humidistat only cuts power, so the humidifier must resume misting when power returns (knob models do, touch-button models like Levoit often do not). Check the Everlasting Comfort controls before publishing.</t>
        </is>
      </c>
    </row>
    <row r="16">
      <c r="A16" s="25" t="inlineStr">
        <is>
          <t>1 Seasonal: do now</t>
        </is>
      </c>
      <c r="B16" s="26" t="inlineStr">
        <is>
          <t>NEED</t>
        </is>
      </c>
      <c r="C16" s="33" t="inlineStr">
        <is>
          <t>Heating</t>
        </is>
      </c>
      <c r="D16" s="28" t="inlineStr">
        <is>
          <t>Low-wattage heat bulb, 25 to 40W, for small arboreal and amphibian enclosures (the catalog's smallest is a 50W halogen)</t>
        </is>
      </c>
      <c r="E16" s="29" t="n">
        <v>4</v>
      </c>
      <c r="F16" s="28" t="inlineStr">
        <is>
          <t>Crested gecko, Gargoyle gecko, White's tree frog, Pacman frog</t>
        </is>
      </c>
      <c r="G16" s="28" t="inlineStr">
        <is>
          <t>Hub, Cost</t>
        </is>
      </c>
      <c r="H16" s="28" t="inlineStr"/>
      <c r="I16" s="29" t="inlineStr">
        <is>
          <t>Added to catalog</t>
        </is>
      </c>
      <c r="J16" s="28" t="inlineStr">
        <is>
          <t>Zoo Med Reptile Basking Spot Lamp, 25W</t>
        </is>
      </c>
      <c r="K16" s="29" t="inlineStr">
        <is>
          <t>Amazon</t>
        </is>
      </c>
      <c r="L16" s="28" t="inlineStr">
        <is>
          <t>https://www.amazon.com/dp/B0002DIWYQ</t>
        </is>
      </c>
      <c r="M16" s="30">
        <f>IF(ISNUMBER(SEARCH("/dp/",L16)),MID(L16,SEARCH("/dp/",L16)+4,10),"")</f>
        <v/>
      </c>
      <c r="N16" s="28" t="inlineStr">
        <is>
          <t>https://www.amazon.com/dp/B0002DIWYQ?tag=beastlyfacts-20</t>
        </is>
      </c>
      <c r="O16" s="29" t="inlineStr">
        <is>
          <t>check</t>
        </is>
      </c>
      <c r="P16" s="31" t="n"/>
      <c r="Q16" s="29" t="inlineStr">
        <is>
          <t>No</t>
        </is>
      </c>
      <c r="R16" s="32" t="inlineStr">
        <is>
          <t>2026-09-28</t>
        </is>
      </c>
      <c r="S16" s="28" t="inlineStr">
        <is>
          <t>Catalog slug: heat-bulb-zoo-med-basking-spot-25w. Sourced 2026-09-28 from Amazon search results; price not visible from here. No 40W Zoo Med or Exo Terra basking bulb found on Amazon. Alt: Zoo Med Daylight Blue 25W (B0002AQD1S).</t>
        </is>
      </c>
    </row>
    <row r="17">
      <c r="A17" s="25" t="inlineStr">
        <is>
          <t>1 Seasonal: do now</t>
        </is>
      </c>
      <c r="B17" s="26" t="inlineStr">
        <is>
          <t>NEED</t>
        </is>
      </c>
      <c r="C17" s="33" t="inlineStr">
        <is>
          <t>Heating</t>
        </is>
      </c>
      <c r="D17" s="28" t="inlineStr">
        <is>
          <t>Deep heat projector, 50 to 80W</t>
        </is>
      </c>
      <c r="E17" s="29" t="n">
        <v>3</v>
      </c>
      <c r="F17" s="28" t="inlineStr">
        <is>
          <t>Tokay gecko, Blue-tongue skink, Savannah monitor</t>
        </is>
      </c>
      <c r="G17" s="28" t="inlineStr">
        <is>
          <t>Hub, Setup prose</t>
        </is>
      </c>
      <c r="H17" s="28" t="inlineStr"/>
      <c r="I17" s="29" t="inlineStr">
        <is>
          <t>Added to catalog</t>
        </is>
      </c>
      <c r="J17" s="28" t="inlineStr">
        <is>
          <t>Arcadia Deep Heat Projector, 80W</t>
        </is>
      </c>
      <c r="K17" s="29" t="inlineStr">
        <is>
          <t>Amazon</t>
        </is>
      </c>
      <c r="L17" s="28" t="inlineStr">
        <is>
          <t>https://www.amazon.com/dp/B0BSVT86WL</t>
        </is>
      </c>
      <c r="M17" s="30">
        <f>IF(ISNUMBER(SEARCH("/dp/",L17)),MID(L17,SEARCH("/dp/",L17)+4,10),"")</f>
        <v/>
      </c>
      <c r="N17" s="28" t="inlineStr">
        <is>
          <t>https://www.amazon.com/dp/B0BSVT86WL?tag=beastlyfacts-20</t>
        </is>
      </c>
      <c r="O17" s="29" t="inlineStr">
        <is>
          <t>check</t>
        </is>
      </c>
      <c r="P17" s="31" t="n"/>
      <c r="Q17" s="29" t="inlineStr">
        <is>
          <t>No</t>
        </is>
      </c>
      <c r="R17" s="32" t="inlineStr">
        <is>
          <t>2026-09-28</t>
        </is>
      </c>
      <c r="S17" s="28" t="inlineStr">
        <is>
          <t>Catalog slug: deep-heat-projector-arcadia-80w. Sourced 2026-09-28 from Amazon search results; price not visible from here. Alt: Arcadia Deep Heat Emitter 50W (B0BSHS996Y).</t>
        </is>
      </c>
    </row>
    <row r="18">
      <c r="A18" s="25" t="inlineStr">
        <is>
          <t>1 Seasonal: do now</t>
        </is>
      </c>
      <c r="B18" s="26" t="inlineStr">
        <is>
          <t>NEED</t>
        </is>
      </c>
      <c r="C18" s="33" t="inlineStr">
        <is>
          <t>Heating</t>
        </is>
      </c>
      <c r="D18" s="28" t="inlineStr">
        <is>
          <t>Radiant heat panel, overhead, sized for a large enclosure or a heated shelter</t>
        </is>
      </c>
      <c r="E18" s="29" t="n">
        <v>3</v>
      </c>
      <c r="F18" s="28" t="inlineStr">
        <is>
          <t>Argentine tegu, Ball python, Sulcata tortoise</t>
        </is>
      </c>
      <c r="G18" s="28" t="inlineStr">
        <is>
          <t>Hub</t>
        </is>
      </c>
      <c r="H18" s="28" t="inlineStr"/>
      <c r="I18" s="29" t="inlineStr">
        <is>
          <t>Added to catalog</t>
        </is>
      </c>
      <c r="J18" s="28" t="inlineStr">
        <is>
          <t>Reptile Basics Radiant Heat Panel, 80W</t>
        </is>
      </c>
      <c r="K18" s="29" t="inlineStr">
        <is>
          <t>Amazon</t>
        </is>
      </c>
      <c r="L18" s="28" t="inlineStr">
        <is>
          <t>https://www.amazon.com/dp/B0190KNRK0</t>
        </is>
      </c>
      <c r="M18" s="30">
        <f>IF(ISNUMBER(SEARCH("/dp/",L18)),MID(L18,SEARCH("/dp/",L18)+4,10),"")</f>
        <v/>
      </c>
      <c r="N18" s="28" t="inlineStr">
        <is>
          <t>https://www.amazon.com/dp/B0190KNRK0?tag=beastlyfacts-20</t>
        </is>
      </c>
      <c r="O18" s="29" t="inlineStr">
        <is>
          <t>check</t>
        </is>
      </c>
      <c r="P18" s="31" t="n"/>
      <c r="Q18" s="29" t="inlineStr">
        <is>
          <t>No</t>
        </is>
      </c>
      <c r="R18" s="32" t="inlineStr">
        <is>
          <t>2026-09-28</t>
        </is>
      </c>
      <c r="S18" s="28" t="inlineStr">
        <is>
          <t>Catalog slug: radiant-heat-panel-reptile-basics-80w. Sourced 2026-09-28 from Amazon search results; price not visible from here. True overhead RHP. Alt: WARHP Wilbanks 220W (B0HGHMBPTD). Avoid B01N7G3CPP (28W bundled with disinfectant).</t>
        </is>
      </c>
    </row>
    <row r="19">
      <c r="A19" s="25" t="inlineStr">
        <is>
          <t>1 Seasonal: do now</t>
        </is>
      </c>
      <c r="B19" s="26" t="inlineStr">
        <is>
          <t>NEED</t>
        </is>
      </c>
      <c r="C19" s="33" t="inlineStr">
        <is>
          <t>Heating</t>
        </is>
      </c>
      <c r="D19" s="28" t="inlineStr">
        <is>
          <t>Halogen flood basking bulb, 75W, sold in multipacks for basking clusters</t>
        </is>
      </c>
      <c r="E19" s="29" t="n">
        <v>2</v>
      </c>
      <c r="F19" s="28" t="inlineStr">
        <is>
          <t>Green iguana, Sulcata tortoise</t>
        </is>
      </c>
      <c r="G19" s="28" t="inlineStr">
        <is>
          <t>Hub, Cost</t>
        </is>
      </c>
      <c r="H19" s="28" t="inlineStr">
        <is>
          <t>(hatchling row, two 75W halogens)</t>
        </is>
      </c>
      <c r="I19" s="29" t="inlineStr">
        <is>
          <t>Added to catalog</t>
        </is>
      </c>
      <c r="J19" s="28" t="inlineStr">
        <is>
          <t>Vinaco PAR30 Long Neck 75W Halogen Flood Bulbs, 6 Pack</t>
        </is>
      </c>
      <c r="K19" s="29" t="inlineStr">
        <is>
          <t>Amazon</t>
        </is>
      </c>
      <c r="L19" s="28" t="inlineStr">
        <is>
          <t>https://www.amazon.com/dp/B0CJ5HRGGV</t>
        </is>
      </c>
      <c r="M19" s="30">
        <f>IF(ISNUMBER(SEARCH("/dp/",L19)),MID(L19,SEARCH("/dp/",L19)+4,10),"")</f>
        <v/>
      </c>
      <c r="N19" s="28" t="inlineStr">
        <is>
          <t>https://www.amazon.com/dp/B0CJ5HRGGV?tag=beastlyfacts-20</t>
        </is>
      </c>
      <c r="O19" s="29" t="inlineStr">
        <is>
          <t>check</t>
        </is>
      </c>
      <c r="P19" s="31" t="n"/>
      <c r="Q19" s="29" t="inlineStr">
        <is>
          <t>No</t>
        </is>
      </c>
      <c r="R19" s="32" t="inlineStr">
        <is>
          <t>2026-09-28</t>
        </is>
      </c>
      <c r="S19" s="28" t="inlineStr">
        <is>
          <t>Catalog slug: halogen-flood-vinaco-par30-75w-6pack. Sourced 2026-09-28 from Amazon search results; price not visible from here. Picked over Philips 419549 6-pack (B01MDM2PSL) because the Philips title says "75 Watt Equivalent", which may mean a lower real draw. Catalog already has Zoo Med Basking Spot Lamp 75W 2-pack (not halogen, unwired).</t>
        </is>
      </c>
    </row>
    <row r="20">
      <c r="A20" s="25" t="inlineStr">
        <is>
          <t>1 Seasonal: do now</t>
        </is>
      </c>
      <c r="B20" s="26" t="inlineStr">
        <is>
          <t>NEED</t>
        </is>
      </c>
      <c r="C20" s="33" t="inlineStr">
        <is>
          <t>Heating</t>
        </is>
      </c>
      <c r="D20" s="28" t="inlineStr">
        <is>
          <t>Floating pond de-icer, for keeping a hole open in winter</t>
        </is>
      </c>
      <c r="E20" s="29" t="n">
        <v>1</v>
      </c>
      <c r="F20" s="28" t="inlineStr">
        <is>
          <t>Koi</t>
        </is>
      </c>
      <c r="G20" s="28" t="inlineStr">
        <is>
          <t>Hub, Setup prose</t>
        </is>
      </c>
      <c r="H20" s="28" t="inlineStr"/>
      <c r="I20" s="29" t="inlineStr">
        <is>
          <t>Added to catalog</t>
        </is>
      </c>
      <c r="J20" s="28" t="inlineStr">
        <is>
          <t>K&amp;H Thermo-Pond 3.0 Floating Pond De-Icer, 100W</t>
        </is>
      </c>
      <c r="K20" s="29" t="inlineStr">
        <is>
          <t>Amazon</t>
        </is>
      </c>
      <c r="L20" s="28" t="inlineStr">
        <is>
          <t>https://www.amazon.com/dp/B000637NQU</t>
        </is>
      </c>
      <c r="M20" s="30">
        <f>IF(ISNUMBER(SEARCH("/dp/",L20)),MID(L20,SEARCH("/dp/",L20)+4,10),"")</f>
        <v/>
      </c>
      <c r="N20" s="28" t="inlineStr">
        <is>
          <t>https://www.amazon.com/dp/B000637NQU?tag=beastlyfacts-20</t>
        </is>
      </c>
      <c r="O20" s="29" t="inlineStr">
        <is>
          <t>check</t>
        </is>
      </c>
      <c r="P20" s="31" t="n"/>
      <c r="Q20" s="29" t="inlineStr">
        <is>
          <t>No</t>
        </is>
      </c>
      <c r="R20" s="32" t="inlineStr">
        <is>
          <t>2026-09-28</t>
        </is>
      </c>
      <c r="S20" s="28" t="inlineStr">
        <is>
          <t>Catalog slug: pond-deicer-kh-thermo-pond-100w. Sourced 2026-09-28 from Amazon search results; price not visible from here. Rated for ponds up to 1,000 gal per listing snippet. Alt: TURBRO PD400A 400W (B0CHF46RK7), more power than needed.</t>
        </is>
      </c>
    </row>
    <row r="21">
      <c r="A21" s="25" t="inlineStr">
        <is>
          <t>1 Seasonal: do now</t>
        </is>
      </c>
      <c r="B21" s="26" t="inlineStr">
        <is>
          <t>NEED</t>
        </is>
      </c>
      <c r="C21" s="33" t="inlineStr">
        <is>
          <t>Heating</t>
        </is>
      </c>
      <c r="D21" s="28" t="inlineStr">
        <is>
          <t>Heat tape, reptile rack or under-enclosure style, run on a thermostat</t>
        </is>
      </c>
      <c r="E21" s="29" t="n">
        <v>1</v>
      </c>
      <c r="F21" s="28" t="inlineStr">
        <is>
          <t>Ball python</t>
        </is>
      </c>
      <c r="G21" s="28" t="inlineStr">
        <is>
          <t>Hub</t>
        </is>
      </c>
      <c r="H21" s="28" t="inlineStr"/>
      <c r="I21" s="29" t="inlineStr">
        <is>
          <t>Added to catalog</t>
        </is>
      </c>
      <c r="J21" s="28" t="inlineStr">
        <is>
          <t>Flexwatt Reptile Heat Tape, 6 in, 10 ft Roll</t>
        </is>
      </c>
      <c r="K21" s="29" t="inlineStr">
        <is>
          <t>Amazon</t>
        </is>
      </c>
      <c r="L21" s="28" t="inlineStr">
        <is>
          <t>https://www.amazon.com/dp/B07XSH1NC5</t>
        </is>
      </c>
      <c r="M21" s="30">
        <f>IF(ISNUMBER(SEARCH("/dp/",L21)),MID(L21,SEARCH("/dp/",L21)+4,10),"")</f>
        <v/>
      </c>
      <c r="N21" s="28" t="inlineStr">
        <is>
          <t>https://www.amazon.com/dp/B07XSH1NC5?tag=beastlyfacts-20</t>
        </is>
      </c>
      <c r="O21" s="29" t="inlineStr">
        <is>
          <t>check</t>
        </is>
      </c>
      <c r="P21" s="31" t="n"/>
      <c r="Q21" s="29" t="inlineStr">
        <is>
          <t>No</t>
        </is>
      </c>
      <c r="R21" s="32" t="inlineStr">
        <is>
          <t>2026-09-28</t>
        </is>
      </c>
      <c r="S21" s="28" t="inlineStr">
        <is>
          <t>Catalog slug: heat-tape-flexwatt-6in-10ft. Sourced 2026-09-28 from Amazon search results; price not visible from here. Needs a thermostat (catalog already has several). Several Flexwatt listings are sold by the foot. Alt: 11 in x 3 ft Flexwatt (B00BO0MKNA).</t>
        </is>
      </c>
    </row>
    <row r="22">
      <c r="A22" s="34" t="inlineStr">
        <is>
          <t>2 Wide reach</t>
        </is>
      </c>
      <c r="B22" s="26" t="inlineStr">
        <is>
          <t>NEED</t>
        </is>
      </c>
      <c r="C22" s="35" t="inlineStr">
        <is>
          <t>Lighting</t>
        </is>
      </c>
      <c r="D22" s="28" t="inlineStr">
        <is>
          <t>Plug-in outlet timer, mechanical or digital, for lights</t>
        </is>
      </c>
      <c r="E22" s="29" t="n">
        <v>15</v>
      </c>
      <c r="F22" s="28" t="inlineStr">
        <is>
          <t>Russian tortoise, Molly, Neon tetra, Ball python, Hognose snake, Betta, Discus, Swordtail, Axolotl, Red-eared slider, Green iguana, Leaf-tailed gecko, Rosy boa, Veiled chameleon, Jumping spider</t>
        </is>
      </c>
      <c r="G22" s="28" t="inlineStr">
        <is>
          <t>Hub, Cost, Setup prose</t>
        </is>
      </c>
      <c r="H22" s="28" t="inlineStr"/>
      <c r="I22" s="29" t="inlineStr">
        <is>
          <t>Added to catalog</t>
        </is>
      </c>
      <c r="J22" s="28" t="inlineStr">
        <is>
          <t>BN-LINK 24-Hour Mechanical Outlet Timer</t>
        </is>
      </c>
      <c r="K22" s="29" t="inlineStr">
        <is>
          <t>Amazon</t>
        </is>
      </c>
      <c r="L22" s="28" t="inlineStr">
        <is>
          <t>https://www.amazon.com/dp/B0D6VSDFH4</t>
        </is>
      </c>
      <c r="M22" s="30">
        <f>IF(ISNUMBER(SEARCH("/dp/",L22)),MID(L22,SEARCH("/dp/",L22)+4,10),"")</f>
        <v/>
      </c>
      <c r="N22" s="28" t="inlineStr">
        <is>
          <t>https://www.amazon.com/dp/B0D6VSDFH4?tag=beastlyfacts-20</t>
        </is>
      </c>
      <c r="O22" s="29" t="inlineStr">
        <is>
          <t>check</t>
        </is>
      </c>
      <c r="P22" s="31" t="n"/>
      <c r="Q22" s="29" t="inlineStr">
        <is>
          <t>No</t>
        </is>
      </c>
      <c r="R22" s="32" t="inlineStr">
        <is>
          <t>2026-09-28</t>
        </is>
      </c>
      <c r="S22" s="28" t="inlineStr">
        <is>
          <t>Catalog slug: outlet-timer-bn-link-mechanical. Sourced 2026-09-28 from Amazon search results; price not visible from here. Alt: BN-LINK dual outlet mechanical timer (B00MVEMD76); 2-pack B074927BKZ.</t>
        </is>
      </c>
    </row>
    <row r="23">
      <c r="A23" s="34" t="inlineStr">
        <is>
          <t>2 Wide reach</t>
        </is>
      </c>
      <c r="B23" s="26" t="inlineStr">
        <is>
          <t>NEED</t>
        </is>
      </c>
      <c r="C23" s="36" t="inlineStr">
        <is>
          <t>Food and supplements</t>
        </is>
      </c>
      <c r="D23" s="28" t="inlineStr">
        <is>
          <t>Frozen or freeze-dried aquarium foods: bloodworms, brine shrimp, daphnia, mysis, krill</t>
        </is>
      </c>
      <c r="E23" s="29" t="n">
        <v>10</v>
      </c>
      <c r="F23" s="28" t="inlineStr">
        <is>
          <t>Angelfish, Betta, Cardinal tetra, Corydoras, Discus, Guppy, Neon tetra, Oscar, Platy, Zebra danio</t>
        </is>
      </c>
      <c r="G23" s="28" t="inlineStr">
        <is>
          <t>Hub</t>
        </is>
      </c>
      <c r="H23" s="28" t="inlineStr">
        <is>
          <t>(freeze-dried)</t>
        </is>
      </c>
      <c r="I23" s="29" t="inlineStr">
        <is>
          <t>Added to catalog</t>
        </is>
      </c>
      <c r="J23" s="28" t="inlineStr">
        <is>
          <t>Omega One Freeze Dried Blood Worms, 0.96 oz</t>
        </is>
      </c>
      <c r="K23" s="29" t="inlineStr">
        <is>
          <t>Amazon</t>
        </is>
      </c>
      <c r="L23" s="28" t="inlineStr">
        <is>
          <t>https://www.amazon.com/dp/B0037LWQZG</t>
        </is>
      </c>
      <c r="M23" s="30">
        <f>IF(ISNUMBER(SEARCH("/dp/",L23)),MID(L23,SEARCH("/dp/",L23)+4,10),"")</f>
        <v/>
      </c>
      <c r="N23" s="28" t="inlineStr">
        <is>
          <t>https://www.amazon.com/dp/B0037LWQZG?tag=beastlyfacts-20</t>
        </is>
      </c>
      <c r="O23" s="29" t="inlineStr">
        <is>
          <t>check</t>
        </is>
      </c>
      <c r="P23" s="31" t="n"/>
      <c r="Q23" s="29" t="inlineStr">
        <is>
          <t>No</t>
        </is>
      </c>
      <c r="R23" s="32" t="inlineStr">
        <is>
          <t>2026-09-28</t>
        </is>
      </c>
      <c r="S23" s="28" t="inlineStr">
        <is>
          <t>Catalog slug: freeze-dried-bloodworms-omega-one, freeze-dried-brine-shrimp-hikari. Also added: Hikari Bio-Pure Freeze Dried Brine Shrimp, 0.42 oz (https://www.amazon.com/dp/B00025K1HK). Sourced 2026-09-28 from Amazon search results; price not visible from here. Second pick: Hikari Bio-Pure Freeze Dried Brine Shrimp 0.42 oz (B00025K1HK). Daphnia: Hikari Bio-Pure FD Daphnia (B003WRG54I). Freeze-dried chosen because frozen does not ship well.</t>
        </is>
      </c>
    </row>
    <row r="24">
      <c r="A24" s="34" t="inlineStr">
        <is>
          <t>2 Wide reach</t>
        </is>
      </c>
      <c r="B24" s="26" t="inlineStr">
        <is>
          <t>NEED</t>
        </is>
      </c>
      <c r="C24" s="37" t="inlineStr">
        <is>
          <t>Substrate</t>
        </is>
      </c>
      <c r="D24" s="28" t="inlineStr">
        <is>
          <t>Leaf litter, dried oak or magnolia, reptile and invert safe</t>
        </is>
      </c>
      <c r="E24" s="29" t="n">
        <v>10</v>
      </c>
      <c r="F24" s="28" t="inlineStr">
        <is>
          <t>Tiger salamander, Tokay gecko, Green anole, Fire skink, Blue-tongue skink, Box turtle, Garter snake, Ball python, Giant millipede, Hissing cockroach</t>
        </is>
      </c>
      <c r="G24" s="28" t="inlineStr">
        <is>
          <t>Hub</t>
        </is>
      </c>
      <c r="H24" s="28" t="inlineStr"/>
      <c r="I24" s="29" t="inlineStr">
        <is>
          <t>Added to catalog</t>
        </is>
      </c>
      <c r="J24" s="28" t="inlineStr">
        <is>
          <t>Josh's Frogs Organic Magnolia Leaf Litter, 1 Gallon</t>
        </is>
      </c>
      <c r="K24" s="29" t="inlineStr">
        <is>
          <t>Amazon</t>
        </is>
      </c>
      <c r="L24" s="28" t="inlineStr">
        <is>
          <t>https://www.amazon.com/dp/B00U9ME3TI</t>
        </is>
      </c>
      <c r="M24" s="30">
        <f>IF(ISNUMBER(SEARCH("/dp/",L24)),MID(L24,SEARCH("/dp/",L24)+4,10),"")</f>
        <v/>
      </c>
      <c r="N24" s="28" t="inlineStr">
        <is>
          <t>https://www.amazon.com/dp/B00U9ME3TI?tag=beastlyfacts-20</t>
        </is>
      </c>
      <c r="O24" s="29" t="inlineStr">
        <is>
          <t>check</t>
        </is>
      </c>
      <c r="P24" s="31" t="n"/>
      <c r="Q24" s="29" t="inlineStr">
        <is>
          <t>No</t>
        </is>
      </c>
      <c r="R24" s="32" t="inlineStr">
        <is>
          <t>2026-09-28</t>
        </is>
      </c>
      <c r="S24" s="28" t="inlineStr">
        <is>
          <t>Catalog slug: leaf-litter-joshs-frogs-magnolia. Sourced 2026-09-28 from Amazon search results; price not visible from here. Alt: Galapagos Magnolia Leaf Litter 4 qt (B087WJF92B). No oak listing found.</t>
        </is>
      </c>
    </row>
    <row r="25">
      <c r="A25" s="34" t="inlineStr">
        <is>
          <t>2 Wide reach</t>
        </is>
      </c>
      <c r="B25" s="26" t="inlineStr">
        <is>
          <t>NEED</t>
        </is>
      </c>
      <c r="C25" s="35" t="inlineStr">
        <is>
          <t>Lighting</t>
        </is>
      </c>
      <c r="D25" s="28" t="inlineStr">
        <is>
          <t>Aquarium LED light, low to moderate output, length matched to the tank (20 to 48 in)</t>
        </is>
      </c>
      <c r="E25" s="29" t="n">
        <v>9</v>
      </c>
      <c r="F25" s="28" t="inlineStr">
        <is>
          <t>Angelfish, Molly, Neon tetra, Betta, Guppy, Platy, Swordtail, Discus, Axolotl</t>
        </is>
      </c>
      <c r="G25" s="28" t="inlineStr">
        <is>
          <t>Hub, Setup prose</t>
        </is>
      </c>
      <c r="H25" s="28" t="inlineStr">
        <is>
          <t>(dim)</t>
        </is>
      </c>
      <c r="I25" s="29" t="inlineStr">
        <is>
          <t>Added to catalog</t>
        </is>
      </c>
      <c r="J25" s="28" t="inlineStr">
        <is>
          <t>NICREW ClassicLED Aquarium Light, 36 to 48 in</t>
        </is>
      </c>
      <c r="K25" s="29" t="inlineStr">
        <is>
          <t>Amazon</t>
        </is>
      </c>
      <c r="L25" s="28" t="inlineStr">
        <is>
          <t>https://www.amazon.com/dp/B07M6P6ZJD</t>
        </is>
      </c>
      <c r="M25" s="30">
        <f>IF(ISNUMBER(SEARCH("/dp/",L25)),MID(L25,SEARCH("/dp/",L25)+4,10),"")</f>
        <v/>
      </c>
      <c r="N25" s="28" t="inlineStr">
        <is>
          <t>https://www.amazon.com/dp/B07M6P6ZJD?tag=beastlyfacts-20</t>
        </is>
      </c>
      <c r="O25" s="29" t="inlineStr">
        <is>
          <t>check</t>
        </is>
      </c>
      <c r="P25" s="31" t="n"/>
      <c r="Q25" s="29" t="inlineStr">
        <is>
          <t>No</t>
        </is>
      </c>
      <c r="R25" s="32" t="inlineStr">
        <is>
          <t>2026-09-28</t>
        </is>
      </c>
      <c r="S25" s="28" t="inlineStr">
        <is>
          <t>Catalog slug: aquarium-led-nicrew-classicled-36-48. Sourced 2026-09-28 from Amazon search results; price not visible from here. Size must match the tank. Same line: 28 to 36 in (B01C84SLRO). ClassicLED Plus: 18-24 in (B07F7391M2), 30-36 in (B07F6XD2FH), 48-54 in (B07KK6G8ZL).</t>
        </is>
      </c>
    </row>
    <row r="26">
      <c r="A26" s="34" t="inlineStr">
        <is>
          <t>2 Wide reach</t>
        </is>
      </c>
      <c r="B26" s="26" t="inlineStr">
        <is>
          <t>NEED</t>
        </is>
      </c>
      <c r="C26" s="27" t="inlineStr">
        <is>
          <t>Other</t>
        </is>
      </c>
      <c r="D26" s="28" t="inlineStr">
        <is>
          <t>Lidded plastic storage tub, about 30 to 60 qt, for dig boxes, laying bins and feeding containers</t>
        </is>
      </c>
      <c r="E26" s="29" t="n">
        <v>9</v>
      </c>
      <c r="F26" s="28" t="inlineStr">
        <is>
          <t>Blue-tongue skink, Rabbit, Rat, Ferret, Veiled chameleon, Hognose snake, Bearded dragon, Savannah monitor, Red-eared slider</t>
        </is>
      </c>
      <c r="G26" s="28" t="inlineStr">
        <is>
          <t>Hub, Cost, Setup prose</t>
        </is>
      </c>
      <c r="H26" s="28" t="inlineStr">
        <is>
          <t>(laying bin) (feeding container) (lay box, a deep tub about 1.5 to 2 times the dragon's length; the R2 reader fix could not price it without a product) (soaking) (nesting and brumation box)</t>
        </is>
      </c>
      <c r="I26" s="29" t="inlineStr">
        <is>
          <t>Added to catalog</t>
        </is>
      </c>
      <c r="J26" s="28" t="inlineStr">
        <is>
          <t>Sterilite 32 Qt Latching Storage Box</t>
        </is>
      </c>
      <c r="K26" s="29" t="inlineStr">
        <is>
          <t>Amazon</t>
        </is>
      </c>
      <c r="L26" s="28" t="inlineStr">
        <is>
          <t>https://www.amazon.com/dp/B07WD34M2Y</t>
        </is>
      </c>
      <c r="M26" s="30">
        <f>IF(ISNUMBER(SEARCH("/dp/",L26)),MID(L26,SEARCH("/dp/",L26)+4,10),"")</f>
        <v/>
      </c>
      <c r="N26" s="28" t="inlineStr">
        <is>
          <t>https://www.amazon.com/dp/B07WD34M2Y?tag=beastlyfacts-20</t>
        </is>
      </c>
      <c r="O26" s="29" t="inlineStr">
        <is>
          <t>check</t>
        </is>
      </c>
      <c r="P26" s="31" t="n"/>
      <c r="Q26" s="29" t="inlineStr">
        <is>
          <t>No</t>
        </is>
      </c>
      <c r="R26" s="32" t="inlineStr">
        <is>
          <t>2026-09-28</t>
        </is>
      </c>
      <c r="S26" s="28" t="inlineStr">
        <is>
          <t>Catalog slug: storage-tub-sterilite-32qt-latching, storage-tub-sterilite-56qt. Also added: Sterilite 56 Qt Storage Box (https://www.amazon.com/dp/B00C9MR9YM). Sourced 2026-09-28 from Amazon search results; price not visible from here. Larger: Sterilite 16598008 56 Qt Storage Box (B00C9MR9YM). Latching 56 qt only found as an 8-pack (B084Z789LQ).</t>
        </is>
      </c>
    </row>
    <row r="27">
      <c r="A27" s="34" t="inlineStr">
        <is>
          <t>2 Wide reach</t>
        </is>
      </c>
      <c r="B27" s="26" t="inlineStr">
        <is>
          <t>NEED</t>
        </is>
      </c>
      <c r="C27" s="27" t="inlineStr">
        <is>
          <t>Other</t>
        </is>
      </c>
      <c r="D27" s="28" t="inlineStr">
        <is>
          <t>Plain unprinted paper cage liner, precut sheets or a butcher paper roll</t>
        </is>
      </c>
      <c r="E27" s="29" t="n">
        <v>9</v>
      </c>
      <c r="F27" s="28" t="inlineStr">
        <is>
          <t>Canary, Zebra finch, Parrotlet, Quaker parakeet, Conure, Green iguana, African grey, Cockatiel, Lovebird</t>
        </is>
      </c>
      <c r="G27" s="28" t="inlineStr">
        <is>
          <t>Hub, Setup prose</t>
        </is>
      </c>
      <c r="H27" s="28" t="inlineStr">
        <is>
          <t>(butcher paper)</t>
        </is>
      </c>
      <c r="I27" s="29" t="inlineStr">
        <is>
          <t>Added to catalog</t>
        </is>
      </c>
      <c r="J27" s="28" t="inlineStr">
        <is>
          <t>BirdCageLiners Pre-Cut Kraft Paper Sheets, 100 Pack</t>
        </is>
      </c>
      <c r="K27" s="29" t="inlineStr">
        <is>
          <t>Amazon</t>
        </is>
      </c>
      <c r="L27" s="28" t="inlineStr">
        <is>
          <t>https://www.amazon.com/dp/B00M4MXBHG</t>
        </is>
      </c>
      <c r="M27" s="30">
        <f>IF(ISNUMBER(SEARCH("/dp/",L27)),MID(L27,SEARCH("/dp/",L27)+4,10),"")</f>
        <v/>
      </c>
      <c r="N27" s="28" t="inlineStr">
        <is>
          <t>https://www.amazon.com/dp/B00M4MXBHG?tag=beastlyfacts-20</t>
        </is>
      </c>
      <c r="O27" s="29" t="inlineStr">
        <is>
          <t>check</t>
        </is>
      </c>
      <c r="P27" s="31" t="n"/>
      <c r="Q27" s="29" t="inlineStr">
        <is>
          <t>No</t>
        </is>
      </c>
      <c r="R27" s="32" t="inlineStr">
        <is>
          <t>2026-09-28</t>
        </is>
      </c>
      <c r="S27" s="28" t="inlineStr">
        <is>
          <t>Catalog slug: cage-liner-birdcageliners-precut-kraft. Sourced 2026-09-28 from Amazon search results; price not visible from here. Snippet says no ink, dyes or wax. Roll alt: The Paper Factory brown butcher paper 17.75 in x 100 ft (B08D6W7DS3). Unprinted newsprint alt: VIOLETTO 120 sheets (B0GVJCGYNX).</t>
        </is>
      </c>
    </row>
    <row r="28">
      <c r="A28" s="34" t="inlineStr">
        <is>
          <t>2 Wide reach</t>
        </is>
      </c>
      <c r="B28" s="26" t="inlineStr">
        <is>
          <t>NEED</t>
        </is>
      </c>
      <c r="C28" s="27" t="inlineStr">
        <is>
          <t>Other</t>
        </is>
      </c>
      <c r="D28" s="28" t="inlineStr">
        <is>
          <t>Small-animal water bottle, glass or BPA-free, cage mount</t>
        </is>
      </c>
      <c r="E28" s="29" t="n">
        <v>9</v>
      </c>
      <c r="F28" s="28" t="inlineStr">
        <is>
          <t>Chinchilla, Degu, Gerbil, Rat, Ferret, Hamster, Guinea pig, Rabbit, Hedgehog</t>
        </is>
      </c>
      <c r="G28" s="28" t="inlineStr">
        <is>
          <t>Hub, Cost</t>
        </is>
      </c>
      <c r="H28" s="28" t="inlineStr"/>
      <c r="I28" s="29" t="inlineStr">
        <is>
          <t>Added to catalog</t>
        </is>
      </c>
      <c r="J28" s="28" t="inlineStr">
        <is>
          <t>LIXIT Chew Proof Glass Water Bottle, 16 oz</t>
        </is>
      </c>
      <c r="K28" s="29" t="inlineStr">
        <is>
          <t>Amazon</t>
        </is>
      </c>
      <c r="L28" s="28" t="inlineStr">
        <is>
          <t>https://www.amazon.com/dp/B0002QI5WM</t>
        </is>
      </c>
      <c r="M28" s="30">
        <f>IF(ISNUMBER(SEARCH("/dp/",L28)),MID(L28,SEARCH("/dp/",L28)+4,10),"")</f>
        <v/>
      </c>
      <c r="N28" s="28" t="inlineStr">
        <is>
          <t>https://www.amazon.com/dp/B0002QI5WM?tag=beastlyfacts-20</t>
        </is>
      </c>
      <c r="O28" s="29" t="inlineStr">
        <is>
          <t>check</t>
        </is>
      </c>
      <c r="P28" s="31" t="n"/>
      <c r="Q28" s="29" t="inlineStr">
        <is>
          <t>No</t>
        </is>
      </c>
      <c r="R28" s="32" t="inlineStr">
        <is>
          <t>2026-09-28</t>
        </is>
      </c>
      <c r="S28" s="28" t="inlineStr">
        <is>
          <t>Catalog slug: water-bottle-lixit-glass-16oz. Sourced 2026-09-28 from Amazon search results; price not visible from here. Alt: Exotic Nutrition hanging glass bottle 12 oz (B0763P4H2L), good for smaller rodents.</t>
        </is>
      </c>
    </row>
    <row r="29">
      <c r="A29" s="34" t="inlineStr">
        <is>
          <t>2 Wide reach</t>
        </is>
      </c>
      <c r="B29" s="26" t="inlineStr">
        <is>
          <t>NEED</t>
        </is>
      </c>
      <c r="C29" s="37" t="inlineStr">
        <is>
          <t>Substrate</t>
        </is>
      </c>
      <c r="D29" s="28" t="inlineStr">
        <is>
          <t>Organic topsoil, fertilizer and pesticide free, bulk bag</t>
        </is>
      </c>
      <c r="E29" s="29" t="n">
        <v>9</v>
      </c>
      <c r="F29" s="28" t="inlineStr">
        <is>
          <t>African fat-tail gecko, Tiger salamander, Blue-tongue skink, Fire skink, Green anole, Box turtle, Sulcata tortoise, Savannah monitor, Uromastyx</t>
        </is>
      </c>
      <c r="G29" s="28" t="inlineStr">
        <is>
          <t>Hub, Cost</t>
        </is>
      </c>
      <c r="H29" s="28" t="inlineStr"/>
      <c r="I29" s="29" t="inlineStr">
        <is>
          <t>Added to catalog</t>
        </is>
      </c>
      <c r="J29" s="28" t="inlineStr">
        <is>
          <t>Michigan Peat Garden Magic Top Soil Blend, 40 lb</t>
        </is>
      </c>
      <c r="K29" s="29" t="inlineStr">
        <is>
          <t>Amazon</t>
        </is>
      </c>
      <c r="L29" s="28" t="inlineStr">
        <is>
          <t>https://www.amazon.com/dp/B000GQ4KX6</t>
        </is>
      </c>
      <c r="M29" s="30">
        <f>IF(ISNUMBER(SEARCH("/dp/",L29)),MID(L29,SEARCH("/dp/",L29)+4,10),"")</f>
        <v/>
      </c>
      <c r="N29" s="28" t="inlineStr">
        <is>
          <t>https://www.amazon.com/dp/B000GQ4KX6?tag=beastlyfacts-20</t>
        </is>
      </c>
      <c r="O29" s="29" t="inlineStr">
        <is>
          <t>$28.99 (seen 09-28)</t>
        </is>
      </c>
      <c r="P29" s="31" t="n"/>
      <c r="Q29" s="29" t="inlineStr">
        <is>
          <t>No</t>
        </is>
      </c>
      <c r="R29" s="32" t="inlineStr">
        <is>
          <t>2026-09-28</t>
        </is>
      </c>
      <c r="S29" s="28" t="inlineStr">
        <is>
          <t>Catalog slug: topsoil-michigan-peat-garden-magic-40lb. Owner pick, replaces the earlier ReptiSoil suggestion.</t>
        </is>
      </c>
    </row>
    <row r="30">
      <c r="A30" s="34" t="inlineStr">
        <is>
          <t>2 Wide reach</t>
        </is>
      </c>
      <c r="B30" s="26" t="inlineStr">
        <is>
          <t>NEED</t>
        </is>
      </c>
      <c r="C30" s="36" t="inlineStr">
        <is>
          <t>Food and supplements</t>
        </is>
      </c>
      <c r="D30" s="28" t="inlineStr">
        <is>
          <t>Plain calcium powder, phosphorus free, no D3</t>
        </is>
      </c>
      <c r="E30" s="29" t="n">
        <v>8</v>
      </c>
      <c r="F30" s="28" t="inlineStr">
        <is>
          <t>African fat-tail gecko, Leopard gecko, Bearded dragon, Gargoyle gecko, Argentine tegu, Savannah monitor, Veiled chameleon, Flying squirrel</t>
        </is>
      </c>
      <c r="G30" s="28" t="inlineStr">
        <is>
          <t>Hub</t>
        </is>
      </c>
      <c r="H30" s="28" t="inlineStr"/>
      <c r="I30" s="29" t="inlineStr">
        <is>
          <t>Added to catalog</t>
        </is>
      </c>
      <c r="J30" s="28" t="inlineStr">
        <is>
          <t>Zoo Med Reptile Calcium without Vitamin D3, 8 oz</t>
        </is>
      </c>
      <c r="K30" s="29" t="inlineStr">
        <is>
          <t>Amazon</t>
        </is>
      </c>
      <c r="L30" s="28" t="inlineStr">
        <is>
          <t>https://www.amazon.com/dp/B000UJPHL8</t>
        </is>
      </c>
      <c r="M30" s="30">
        <f>IF(ISNUMBER(SEARCH("/dp/",L30)),MID(L30,SEARCH("/dp/",L30)+4,10),"")</f>
        <v/>
      </c>
      <c r="N30" s="28" t="inlineStr">
        <is>
          <t>https://www.amazon.com/dp/B000UJPHL8?tag=beastlyfacts-20</t>
        </is>
      </c>
      <c r="O30" s="29" t="inlineStr">
        <is>
          <t>check</t>
        </is>
      </c>
      <c r="P30" s="31" t="n"/>
      <c r="Q30" s="29" t="inlineStr">
        <is>
          <t>No</t>
        </is>
      </c>
      <c r="R30" s="32" t="inlineStr">
        <is>
          <t>2026-09-28</t>
        </is>
      </c>
      <c r="S30" s="28" t="inlineStr">
        <is>
          <t>Catalog slug: calcium-zoo-med-without-d3. Sourced 2026-09-28 from Amazon search results; price not visible from here. Title confirmed on the product page. Alt: Rep-Cal Phosphorus-Free Calcium without D3, 4.1 oz (B00BS96GLE).</t>
        </is>
      </c>
    </row>
    <row r="31">
      <c r="A31" s="34" t="inlineStr">
        <is>
          <t>2 Wide reach</t>
        </is>
      </c>
      <c r="B31" s="26" t="inlineStr">
        <is>
          <t>NEED</t>
        </is>
      </c>
      <c r="C31" s="38" t="inlineStr">
        <is>
          <t>Enclosures and cages</t>
        </is>
      </c>
      <c r="D31" s="28" t="inlineStr">
        <is>
          <t>40-gallon breeder tank, 36x18x16 in</t>
        </is>
      </c>
      <c r="E31" s="29" t="n">
        <v>7</v>
      </c>
      <c r="F31" s="28" t="inlineStr">
        <is>
          <t>Axolotl, African fat-tail gecko, Gerbil, Giant millipede, Corn snake, Garter snake, Hermit crab</t>
        </is>
      </c>
      <c r="G31" s="28" t="inlineStr">
        <is>
          <t>Hub, Cost</t>
        </is>
      </c>
      <c r="H31" s="28" t="inlineStr">
        <is>
          <t>(pair) (20 to 40 gal group tank)</t>
        </is>
      </c>
      <c r="I31" s="29" t="inlineStr">
        <is>
          <t>Added to catalog</t>
        </is>
      </c>
      <c r="J31" s="28" t="inlineStr">
        <is>
          <t>Aqueon 40 Gallon Breeder Tank, 36x18x16 in</t>
        </is>
      </c>
      <c r="K31" s="29" t="inlineStr">
        <is>
          <t>Amazon</t>
        </is>
      </c>
      <c r="L31" s="28" t="inlineStr">
        <is>
          <t>https://www.amazon.com/dp/B0002AS23U</t>
        </is>
      </c>
      <c r="M31" s="30">
        <f>IF(ISNUMBER(SEARCH("/dp/",L31)),MID(L31,SEARCH("/dp/",L31)+4,10),"")</f>
        <v/>
      </c>
      <c r="N31" s="28" t="inlineStr">
        <is>
          <t>https://www.amazon.com/dp/B0002AS23U?tag=beastlyfacts-20</t>
        </is>
      </c>
      <c r="O31" s="29" t="inlineStr">
        <is>
          <t>check</t>
        </is>
      </c>
      <c r="P31" s="31" t="n"/>
      <c r="Q31" s="29" t="inlineStr">
        <is>
          <t>No</t>
        </is>
      </c>
      <c r="R31" s="32" t="inlineStr">
        <is>
          <t>2026-09-28</t>
        </is>
      </c>
      <c r="S31" s="28" t="inlineStr">
        <is>
          <t>Catalog slug: tank-aqueon-40-breeder. Sourced 2026-09-28 from Amazon search results; price not visible from here. Alt: Perfecto 40 gal breeder 36x18x16 (B004HSULOG). Big tanks sometimes ship poorly; check availability.</t>
        </is>
      </c>
    </row>
    <row r="32">
      <c r="A32" s="34" t="inlineStr">
        <is>
          <t>2 Wide reach</t>
        </is>
      </c>
      <c r="B32" s="26" t="inlineStr">
        <is>
          <t>NEED</t>
        </is>
      </c>
      <c r="C32" s="27" t="inlineStr">
        <is>
          <t>Other</t>
        </is>
      </c>
      <c r="D32" s="28" t="inlineStr">
        <is>
          <t>Breathable bird cage cover, sized to the cage</t>
        </is>
      </c>
      <c r="E32" s="29" t="n">
        <v>7</v>
      </c>
      <c r="F32" s="28" t="inlineStr">
        <is>
          <t>Budgie, Canary, Cockatiel, Lovebird, Parrotlet, Quaker parakeet, Conure</t>
        </is>
      </c>
      <c r="G32" s="28" t="inlineStr">
        <is>
          <t>Hub, Cost</t>
        </is>
      </c>
      <c r="H32" s="28" t="inlineStr"/>
      <c r="I32" s="29" t="inlineStr">
        <is>
          <t>Added to catalog</t>
        </is>
      </c>
      <c r="J32" s="28" t="inlineStr">
        <is>
          <t>Prevue Universal Bird Cage Cover, Medium</t>
        </is>
      </c>
      <c r="K32" s="29" t="inlineStr">
        <is>
          <t>Amazon</t>
        </is>
      </c>
      <c r="L32" s="28" t="inlineStr">
        <is>
          <t>https://www.amazon.com/dp/B0002AQ5YS</t>
        </is>
      </c>
      <c r="M32" s="30">
        <f>IF(ISNUMBER(SEARCH("/dp/",L32)),MID(L32,SEARCH("/dp/",L32)+4,10),"")</f>
        <v/>
      </c>
      <c r="N32" s="28" t="inlineStr">
        <is>
          <t>https://www.amazon.com/dp/B0002AQ5YS?tag=beastlyfacts-20</t>
        </is>
      </c>
      <c r="O32" s="29" t="inlineStr">
        <is>
          <t>check</t>
        </is>
      </c>
      <c r="P32" s="31" t="n"/>
      <c r="Q32" s="29" t="inlineStr">
        <is>
          <t>No</t>
        </is>
      </c>
      <c r="R32" s="32" t="inlineStr">
        <is>
          <t>2026-09-28</t>
        </is>
      </c>
      <c r="S32" s="28" t="inlineStr">
        <is>
          <t>Catalog slug: cage-cover-prevue-universal-medium. Sourced 2026-09-28 from Amazon search results; price not visible from here. Medium fits cages up to 20x20x29 in. Larger: Prevue Good Night cover (B0002AQ5ZC), title says both Extra Large and Large, check the size.</t>
        </is>
      </c>
    </row>
    <row r="33">
      <c r="A33" s="34" t="inlineStr">
        <is>
          <t>2 Wide reach</t>
        </is>
      </c>
      <c r="B33" s="39" t="inlineStr">
        <is>
          <t>COULD</t>
        </is>
      </c>
      <c r="C33" s="40" t="inlineStr">
        <is>
          <t>Health and first aid</t>
        </is>
      </c>
      <c r="D33" s="28" t="inlineStr">
        <is>
          <t>Veterinary reptile-safe disinfectant (F10SC class), used at full contact time</t>
        </is>
      </c>
      <c r="E33" s="29" t="n">
        <v>8</v>
      </c>
      <c r="F33" s="28" t="inlineStr">
        <is>
          <t>Argentine tegu, Blue-tongue skink, California kingsnake, Fire skink, Green iguana, Hognose snake, Milk snake, Tokay gecko</t>
        </is>
      </c>
      <c r="G33" s="28" t="inlineStr">
        <is>
          <t>Setup prose</t>
        </is>
      </c>
      <c r="H33" s="28" t="inlineStr"/>
      <c r="I33" s="29" t="inlineStr">
        <is>
          <t>Added to catalog</t>
        </is>
      </c>
      <c r="J33" s="28" t="inlineStr">
        <is>
          <t>F10SC Veterinary Disinfectant Concentrate, 1 L</t>
        </is>
      </c>
      <c r="K33" s="29" t="inlineStr">
        <is>
          <t>Amazon</t>
        </is>
      </c>
      <c r="L33" s="28" t="inlineStr">
        <is>
          <t>https://www.amazon.com/dp/B00S7J7N4C</t>
        </is>
      </c>
      <c r="M33" s="30">
        <f>IF(ISNUMBER(SEARCH("/dp/",L33)),MID(L33,SEARCH("/dp/",L33)+4,10),"")</f>
        <v/>
      </c>
      <c r="N33" s="28" t="inlineStr">
        <is>
          <t>https://www.amazon.com/dp/B00S7J7N4C?tag=beastlyfacts-20</t>
        </is>
      </c>
      <c r="O33" s="29" t="inlineStr">
        <is>
          <t>check</t>
        </is>
      </c>
      <c r="P33" s="31" t="n"/>
      <c r="Q33" s="29" t="inlineStr">
        <is>
          <t>No</t>
        </is>
      </c>
      <c r="R33" s="32" t="inlineStr">
        <is>
          <t>2026-09-28</t>
        </is>
      </c>
      <c r="S33" s="28" t="inlineStr">
        <is>
          <t>Catalog slug: disinfectant-f10sc-concentrate-1l. Sourced 2026-09-28 from Amazon search results; price not visible from here. Title confirmed on the product page. Smaller: 200 ml (B00ECJ5NIY). Do not use F10SCXD listings (with detergent).</t>
        </is>
      </c>
    </row>
    <row r="34">
      <c r="A34" s="41" t="inlineStr">
        <is>
          <t>3 Repeat purchase</t>
        </is>
      </c>
      <c r="B34" s="26" t="inlineStr">
        <is>
          <t>NEED</t>
        </is>
      </c>
      <c r="C34" s="37" t="inlineStr">
        <is>
          <t>Substrate</t>
        </is>
      </c>
      <c r="D34" s="28" t="inlineStr">
        <is>
          <t>Peat moss, unfertilized</t>
        </is>
      </c>
      <c r="E34" s="29" t="n">
        <v>5</v>
      </c>
      <c r="F34" s="28" t="inlineStr">
        <is>
          <t>Emperor scorpion, Hissing cockroach, Stick insect, Tarantula, Red-footed tortoise</t>
        </is>
      </c>
      <c r="G34" s="28" t="inlineStr">
        <is>
          <t>Hub</t>
        </is>
      </c>
      <c r="H34" s="28" t="inlineStr"/>
      <c r="I34" s="29" t="inlineStr">
        <is>
          <t>Added to catalog</t>
        </is>
      </c>
      <c r="J34" s="28" t="inlineStr">
        <is>
          <t>Espoma Organic Sphagnum Peat Moss</t>
        </is>
      </c>
      <c r="K34" s="29" t="inlineStr">
        <is>
          <t>Amazon</t>
        </is>
      </c>
      <c r="L34" s="28" t="inlineStr">
        <is>
          <t>https://www.amazon.com/dp/B0037AP20I</t>
        </is>
      </c>
      <c r="M34" s="30">
        <f>IF(ISNUMBER(SEARCH("/dp/",L34)),MID(L34,SEARCH("/dp/",L34)+4,10),"")</f>
        <v/>
      </c>
      <c r="N34" s="28" t="inlineStr">
        <is>
          <t>https://www.amazon.com/dp/B0037AP20I?tag=beastlyfacts-20</t>
        </is>
      </c>
      <c r="O34" s="29" t="inlineStr">
        <is>
          <t>check</t>
        </is>
      </c>
      <c r="P34" s="31" t="n"/>
      <c r="Q34" s="29" t="inlineStr">
        <is>
          <t>No</t>
        </is>
      </c>
      <c r="R34" s="32" t="inlineStr">
        <is>
          <t>2026-09-28</t>
        </is>
      </c>
      <c r="S34" s="28" t="inlineStr">
        <is>
          <t>Catalog slug: peat-moss-espoma-organic.</t>
        </is>
      </c>
    </row>
    <row r="35">
      <c r="A35" s="41" t="inlineStr">
        <is>
          <t>3 Repeat purchase</t>
        </is>
      </c>
      <c r="B35" s="26" t="inlineStr">
        <is>
          <t>NEED</t>
        </is>
      </c>
      <c r="C35" s="36" t="inlineStr">
        <is>
          <t>Food and supplements</t>
        </is>
      </c>
      <c r="D35" s="28" t="inlineStr">
        <is>
          <t>Alternative grass hays: orchard grass, meadow, Bermuda</t>
        </is>
      </c>
      <c r="E35" s="29" t="n">
        <v>4</v>
      </c>
      <c r="F35" s="28" t="inlineStr">
        <is>
          <t>Chinchilla, Degu, Rabbit, Sulcata tortoise</t>
        </is>
      </c>
      <c r="G35" s="28" t="inlineStr">
        <is>
          <t>Hub, Cost</t>
        </is>
      </c>
      <c r="H35" s="28" t="inlineStr">
        <is>
          <t>(Bermuda)</t>
        </is>
      </c>
      <c r="I35" s="29" t="inlineStr">
        <is>
          <t>Added to catalog</t>
        </is>
      </c>
      <c r="J35" s="28" t="inlineStr">
        <is>
          <t>Oxbow Orchard Grass Hay, 40 oz</t>
        </is>
      </c>
      <c r="K35" s="29" t="inlineStr">
        <is>
          <t>Amazon</t>
        </is>
      </c>
      <c r="L35" s="28" t="inlineStr">
        <is>
          <t>https://www.amazon.com/dp/B000WFKP80</t>
        </is>
      </c>
      <c r="M35" s="30">
        <f>IF(ISNUMBER(SEARCH("/dp/",L35)),MID(L35,SEARCH("/dp/",L35)+4,10),"")</f>
        <v/>
      </c>
      <c r="N35" s="28" t="inlineStr">
        <is>
          <t>https://www.amazon.com/dp/B000WFKP80?tag=beastlyfacts-20</t>
        </is>
      </c>
      <c r="O35" s="29" t="inlineStr">
        <is>
          <t>check</t>
        </is>
      </c>
      <c r="P35" s="31" t="n"/>
      <c r="Q35" s="29" t="inlineStr">
        <is>
          <t>No</t>
        </is>
      </c>
      <c r="R35" s="32" t="inlineStr">
        <is>
          <t>2026-09-28</t>
        </is>
      </c>
      <c r="S35" s="28" t="inlineStr">
        <is>
          <t>Catalog slug: hay-oxbow-orchard-40oz.</t>
        </is>
      </c>
    </row>
    <row r="36">
      <c r="A36" s="41" t="inlineStr">
        <is>
          <t>3 Repeat purchase</t>
        </is>
      </c>
      <c r="B36" s="26" t="inlineStr">
        <is>
          <t>NEED</t>
        </is>
      </c>
      <c r="C36" s="27" t="inlineStr">
        <is>
          <t>Other</t>
        </is>
      </c>
      <c r="D36" s="28" t="inlineStr">
        <is>
          <t>Plain paper nesting material, unscented, no cotton fluff</t>
        </is>
      </c>
      <c r="E36" s="29" t="n">
        <v>4</v>
      </c>
      <c r="F36" s="28" t="inlineStr">
        <is>
          <t>Mouse, Rat, Gerbil, Hamster</t>
        </is>
      </c>
      <c r="G36" s="28" t="inlineStr">
        <is>
          <t>Hub, Setup prose</t>
        </is>
      </c>
      <c r="H36" s="28" t="inlineStr"/>
      <c r="I36" s="29" t="inlineStr">
        <is>
          <t>Added to catalog</t>
        </is>
      </c>
      <c r="J36" s="28" t="inlineStr">
        <is>
          <t>Kaytee Clean &amp; Cozy Paper Bedding, White, 49.2 L</t>
        </is>
      </c>
      <c r="K36" s="29" t="inlineStr">
        <is>
          <t>Amazon</t>
        </is>
      </c>
      <c r="L36" s="28" t="inlineStr">
        <is>
          <t>https://www.amazon.com/dp/B007R6G8JW</t>
        </is>
      </c>
      <c r="M36" s="30">
        <f>IF(ISNUMBER(SEARCH("/dp/",L36)),MID(L36,SEARCH("/dp/",L36)+4,10),"")</f>
        <v/>
      </c>
      <c r="N36" s="28" t="inlineStr">
        <is>
          <t>https://www.amazon.com/dp/B007R6G8JW?tag=beastlyfacts-20</t>
        </is>
      </c>
      <c r="O36" s="29" t="inlineStr">
        <is>
          <t>check</t>
        </is>
      </c>
      <c r="P36" s="31" t="n"/>
      <c r="Q36" s="29" t="inlineStr">
        <is>
          <t>No</t>
        </is>
      </c>
      <c r="R36" s="32" t="inlineStr">
        <is>
          <t>2026-09-28</t>
        </is>
      </c>
      <c r="S36" s="28" t="inlineStr">
        <is>
          <t>Catalog slug: bedding-kaytee-clean-cozy-white.</t>
        </is>
      </c>
    </row>
    <row r="37">
      <c r="A37" s="41" t="inlineStr">
        <is>
          <t>3 Repeat purchase</t>
        </is>
      </c>
      <c r="B37" s="26" t="inlineStr">
        <is>
          <t>NEED</t>
        </is>
      </c>
      <c r="C37" s="36" t="inlineStr">
        <is>
          <t>Food and supplements</t>
        </is>
      </c>
      <c r="D37" s="28" t="inlineStr">
        <is>
          <t>Spirulina or vegetable-rich flake for livebearers</t>
        </is>
      </c>
      <c r="E37" s="29" t="n">
        <v>3</v>
      </c>
      <c r="F37" s="28" t="inlineStr">
        <is>
          <t>Molly, Platy, Swordtail</t>
        </is>
      </c>
      <c r="G37" s="28" t="inlineStr">
        <is>
          <t>Hub, Cost</t>
        </is>
      </c>
      <c r="H37" s="28" t="inlineStr"/>
      <c r="I37" s="29" t="inlineStr">
        <is>
          <t>Added to catalog</t>
        </is>
      </c>
      <c r="J37" s="28" t="inlineStr">
        <is>
          <t>Omega One Veggie Kelp Flakes, 2.2 oz</t>
        </is>
      </c>
      <c r="K37" s="29" t="inlineStr">
        <is>
          <t>Amazon</t>
        </is>
      </c>
      <c r="L37" s="28" t="inlineStr">
        <is>
          <t>https://www.amazon.com/dp/B0046HIG7W</t>
        </is>
      </c>
      <c r="M37" s="30">
        <f>IF(ISNUMBER(SEARCH("/dp/",L37)),MID(L37,SEARCH("/dp/",L37)+4,10),"")</f>
        <v/>
      </c>
      <c r="N37" s="28" t="inlineStr">
        <is>
          <t>https://www.amazon.com/dp/B0046HIG7W?tag=beastlyfacts-20</t>
        </is>
      </c>
      <c r="O37" s="29" t="inlineStr">
        <is>
          <t>check</t>
        </is>
      </c>
      <c r="P37" s="31" t="n"/>
      <c r="Q37" s="29" t="inlineStr">
        <is>
          <t>No</t>
        </is>
      </c>
      <c r="R37" s="32" t="inlineStr">
        <is>
          <t>2026-09-28</t>
        </is>
      </c>
      <c r="S37" s="28" t="inlineStr">
        <is>
          <t>Catalog slug: fish-food-omega-one-veggie-kelp-flakes.</t>
        </is>
      </c>
    </row>
    <row r="38">
      <c r="A38" s="41" t="inlineStr">
        <is>
          <t>3 Repeat purchase</t>
        </is>
      </c>
      <c r="B38" s="26" t="inlineStr">
        <is>
          <t>NEED</t>
        </is>
      </c>
      <c r="C38" s="27" t="inlineStr">
        <is>
          <t>Other</t>
        </is>
      </c>
      <c r="D38" s="28" t="inlineStr">
        <is>
          <t>Crushed coral or a commercial buffering product for soft tap water</t>
        </is>
      </c>
      <c r="E38" s="29" t="n">
        <v>3</v>
      </c>
      <c r="F38" s="28" t="inlineStr">
        <is>
          <t>Molly, Platy, Swordtail</t>
        </is>
      </c>
      <c r="G38" s="28" t="inlineStr">
        <is>
          <t>Hub, Setup prose</t>
        </is>
      </c>
      <c r="H38" s="28" t="inlineStr"/>
      <c r="I38" s="29" t="inlineStr">
        <is>
          <t>Added to catalog</t>
        </is>
      </c>
      <c r="J38" s="28" t="inlineStr">
        <is>
          <t>CaribSea Crushed Coral, 10 lb</t>
        </is>
      </c>
      <c r="K38" s="29" t="inlineStr">
        <is>
          <t>Amazon</t>
        </is>
      </c>
      <c r="L38" s="28" t="inlineStr">
        <is>
          <t>https://www.amazon.com/dp/B000ELY1YQ</t>
        </is>
      </c>
      <c r="M38" s="30">
        <f>IF(ISNUMBER(SEARCH("/dp/",L38)),MID(L38,SEARCH("/dp/",L38)+4,10),"")</f>
        <v/>
      </c>
      <c r="N38" s="28" t="inlineStr">
        <is>
          <t>https://www.amazon.com/dp/B000ELY1YQ?tag=beastlyfacts-20</t>
        </is>
      </c>
      <c r="O38" s="29" t="inlineStr">
        <is>
          <t>check</t>
        </is>
      </c>
      <c r="P38" s="31" t="n"/>
      <c r="Q38" s="29" t="inlineStr">
        <is>
          <t>No</t>
        </is>
      </c>
      <c r="R38" s="32" t="inlineStr">
        <is>
          <t>2026-09-28</t>
        </is>
      </c>
      <c r="S38" s="28" t="inlineStr">
        <is>
          <t>Catalog slug: crushed-coral-caribsea-10lb.</t>
        </is>
      </c>
    </row>
    <row r="39">
      <c r="A39" s="41" t="inlineStr">
        <is>
          <t>3 Repeat purchase</t>
        </is>
      </c>
      <c r="B39" s="26" t="inlineStr">
        <is>
          <t>NEED</t>
        </is>
      </c>
      <c r="C39" s="27" t="inlineStr">
        <is>
          <t>Other</t>
        </is>
      </c>
      <c r="D39" s="28" t="inlineStr">
        <is>
          <t>Indian almond leaves (catappa)</t>
        </is>
      </c>
      <c r="E39" s="29" t="n">
        <v>3</v>
      </c>
      <c r="F39" s="28" t="inlineStr">
        <is>
          <t>Cardinal tetra, Neon tetra, Cherry shrimp</t>
        </is>
      </c>
      <c r="G39" s="28" t="inlineStr">
        <is>
          <t>Hub</t>
        </is>
      </c>
      <c r="H39" s="28" t="inlineStr"/>
      <c r="I39" s="29" t="inlineStr">
        <is>
          <t>Added to catalog</t>
        </is>
      </c>
      <c r="J39" s="28" t="inlineStr">
        <is>
          <t>SunGrow Indian Almond Leaves (Catappa), 50 Pack</t>
        </is>
      </c>
      <c r="K39" s="29" t="inlineStr">
        <is>
          <t>Amazon</t>
        </is>
      </c>
      <c r="L39" s="28" t="inlineStr">
        <is>
          <t>https://www.amazon.com/dp/B01G78H5XS</t>
        </is>
      </c>
      <c r="M39" s="30">
        <f>IF(ISNUMBER(SEARCH("/dp/",L39)),MID(L39,SEARCH("/dp/",L39)+4,10),"")</f>
        <v/>
      </c>
      <c r="N39" s="28" t="inlineStr">
        <is>
          <t>https://www.amazon.com/dp/B01G78H5XS?tag=beastlyfacts-20</t>
        </is>
      </c>
      <c r="O39" s="29" t="inlineStr">
        <is>
          <t>check</t>
        </is>
      </c>
      <c r="P39" s="31" t="n"/>
      <c r="Q39" s="29" t="inlineStr">
        <is>
          <t>No</t>
        </is>
      </c>
      <c r="R39" s="32" t="inlineStr">
        <is>
          <t>2026-09-28</t>
        </is>
      </c>
      <c r="S39" s="28" t="inlineStr">
        <is>
          <t>Catalog slug: catappa-leaves-sungrow-50.</t>
        </is>
      </c>
    </row>
    <row r="40">
      <c r="A40" s="41" t="inlineStr">
        <is>
          <t>3 Repeat purchase</t>
        </is>
      </c>
      <c r="B40" s="26" t="inlineStr">
        <is>
          <t>NEED</t>
        </is>
      </c>
      <c r="C40" s="27" t="inlineStr">
        <is>
          <t>Other</t>
        </is>
      </c>
      <c r="D40" s="28" t="inlineStr">
        <is>
          <t>Shrimp remineralizer, GH and KH (plus a GH-only version for tap with some hardness)</t>
        </is>
      </c>
      <c r="E40" s="29" t="n">
        <v>3</v>
      </c>
      <c r="F40" s="28" t="inlineStr">
        <is>
          <t>Amano shrimp, Cherry shrimp, Discus</t>
        </is>
      </c>
      <c r="G40" s="28" t="inlineStr">
        <is>
          <t>Hub, Setup prose</t>
        </is>
      </c>
      <c r="H40" s="28" t="inlineStr"/>
      <c r="I40" s="29" t="inlineStr">
        <is>
          <t>Added to catalog</t>
        </is>
      </c>
      <c r="J40" s="28" t="inlineStr">
        <is>
          <t>Salty Shrimp Mineral GH/KH+, 200 g</t>
        </is>
      </c>
      <c r="K40" s="29" t="inlineStr">
        <is>
          <t>Amazon</t>
        </is>
      </c>
      <c r="L40" s="28" t="inlineStr">
        <is>
          <t>https://www.amazon.com/dp/B00HZLUGSI</t>
        </is>
      </c>
      <c r="M40" s="30">
        <f>IF(ISNUMBER(SEARCH("/dp/",L40)),MID(L40,SEARCH("/dp/",L40)+4,10),"")</f>
        <v/>
      </c>
      <c r="N40" s="28" t="inlineStr">
        <is>
          <t>https://www.amazon.com/dp/B00HZLUGSI?tag=beastlyfacts-20</t>
        </is>
      </c>
      <c r="O40" s="29" t="inlineStr">
        <is>
          <t>check</t>
        </is>
      </c>
      <c r="P40" s="31" t="n"/>
      <c r="Q40" s="29" t="inlineStr">
        <is>
          <t>No</t>
        </is>
      </c>
      <c r="R40" s="32" t="inlineStr">
        <is>
          <t>2026-09-28</t>
        </is>
      </c>
      <c r="S40" s="28" t="inlineStr">
        <is>
          <t>Catalog slug: shrimp-mineral-salty-shrimp-gh-kh, shrimp-mineral-salty-shrimp-gh. Also added: Salty Shrimp Bee Shrimp Mineral GH+, 110 g (https://www.amazon.com/dp/B06Y5M7CGB).</t>
        </is>
      </c>
    </row>
    <row r="41">
      <c r="A41" s="41" t="inlineStr">
        <is>
          <t>3 Repeat purchase</t>
        </is>
      </c>
      <c r="B41" s="26" t="inlineStr">
        <is>
          <t>NEED</t>
        </is>
      </c>
      <c r="C41" s="36" t="inlineStr">
        <is>
          <t>Food and supplements</t>
        </is>
      </c>
      <c r="D41" s="28" t="inlineStr">
        <is>
          <t>Adult rat or rodent lab block</t>
        </is>
      </c>
      <c r="E41" s="29" t="n">
        <v>2</v>
      </c>
      <c r="F41" s="28" t="inlineStr">
        <is>
          <t>Rat, Flying squirrel</t>
        </is>
      </c>
      <c r="G41" s="28" t="inlineStr">
        <is>
          <t>Hub, Cost</t>
        </is>
      </c>
      <c r="H41" s="28" t="inlineStr"/>
      <c r="I41" s="29" t="inlineStr">
        <is>
          <t>Added to catalog</t>
        </is>
      </c>
      <c r="J41" s="28" t="inlineStr">
        <is>
          <t>Mazuri Rat &amp; Mouse Diet Lab Blocks, 2 lb</t>
        </is>
      </c>
      <c r="K41" s="29" t="inlineStr">
        <is>
          <t>Amazon</t>
        </is>
      </c>
      <c r="L41" s="28" t="inlineStr">
        <is>
          <t>https://www.amazon.com/dp/B00JR8K8DA</t>
        </is>
      </c>
      <c r="M41" s="30">
        <f>IF(ISNUMBER(SEARCH("/dp/",L41)),MID(L41,SEARCH("/dp/",L41)+4,10),"")</f>
        <v/>
      </c>
      <c r="N41" s="28" t="inlineStr">
        <is>
          <t>https://www.amazon.com/dp/B00JR8K8DA?tag=beastlyfacts-20</t>
        </is>
      </c>
      <c r="O41" s="29" t="inlineStr">
        <is>
          <t>check</t>
        </is>
      </c>
      <c r="P41" s="31" t="n"/>
      <c r="Q41" s="29" t="inlineStr">
        <is>
          <t>No</t>
        </is>
      </c>
      <c r="R41" s="32" t="inlineStr">
        <is>
          <t>2026-09-28</t>
        </is>
      </c>
      <c r="S41" s="28" t="inlineStr">
        <is>
          <t>Catalog slug: rat-block-mazuri-2lb.</t>
        </is>
      </c>
    </row>
    <row r="42">
      <c r="A42" s="41" t="inlineStr">
        <is>
          <t>3 Repeat purchase</t>
        </is>
      </c>
      <c r="B42" s="26" t="inlineStr">
        <is>
          <t>NEED</t>
        </is>
      </c>
      <c r="C42" s="36" t="inlineStr">
        <is>
          <t>Food and supplements</t>
        </is>
      </c>
      <c r="D42" s="28" t="inlineStr">
        <is>
          <t>Crushed oyster shell, calcium source</t>
        </is>
      </c>
      <c r="E42" s="29" t="n">
        <v>2</v>
      </c>
      <c r="F42" s="28" t="inlineStr">
        <is>
          <t>Giant millipede, Sulcata tortoise</t>
        </is>
      </c>
      <c r="G42" s="28" t="inlineStr">
        <is>
          <t>Hub</t>
        </is>
      </c>
      <c r="H42" s="28" t="inlineStr"/>
      <c r="I42" s="29" t="inlineStr">
        <is>
          <t>Added to catalog</t>
        </is>
      </c>
      <c r="J42" s="28" t="inlineStr">
        <is>
          <t>Manna Pro Crushed Oyster Shell, 5 lb</t>
        </is>
      </c>
      <c r="K42" s="29" t="inlineStr">
        <is>
          <t>Amazon</t>
        </is>
      </c>
      <c r="L42" s="28" t="inlineStr">
        <is>
          <t>https://www.amazon.com/dp/B000MD59TC</t>
        </is>
      </c>
      <c r="M42" s="30">
        <f>IF(ISNUMBER(SEARCH("/dp/",L42)),MID(L42,SEARCH("/dp/",L42)+4,10),"")</f>
        <v/>
      </c>
      <c r="N42" s="28" t="inlineStr">
        <is>
          <t>https://www.amazon.com/dp/B000MD59TC?tag=beastlyfacts-20</t>
        </is>
      </c>
      <c r="O42" s="29" t="inlineStr">
        <is>
          <t>check</t>
        </is>
      </c>
      <c r="P42" s="31" t="n"/>
      <c r="Q42" s="29" t="inlineStr">
        <is>
          <t>No</t>
        </is>
      </c>
      <c r="R42" s="32" t="inlineStr">
        <is>
          <t>2026-09-28</t>
        </is>
      </c>
      <c r="S42" s="28" t="inlineStr">
        <is>
          <t>Catalog slug: oyster-shell-manna-pro-5lb.</t>
        </is>
      </c>
    </row>
    <row r="43">
      <c r="A43" s="41" t="inlineStr">
        <is>
          <t>3 Repeat purchase</t>
        </is>
      </c>
      <c r="B43" s="26" t="inlineStr">
        <is>
          <t>NEED</t>
        </is>
      </c>
      <c r="C43" s="36" t="inlineStr">
        <is>
          <t>Food and supplements</t>
        </is>
      </c>
      <c r="D43" s="28" t="inlineStr">
        <is>
          <t>Egg food for finches and canaries</t>
        </is>
      </c>
      <c r="E43" s="29" t="n">
        <v>2</v>
      </c>
      <c r="F43" s="28" t="inlineStr">
        <is>
          <t>Canary, Zebra finch</t>
        </is>
      </c>
      <c r="G43" s="28" t="inlineStr">
        <is>
          <t>Hub</t>
        </is>
      </c>
      <c r="H43" s="28" t="inlineStr"/>
      <c r="I43" s="29" t="inlineStr">
        <is>
          <t>Added to catalog</t>
        </is>
      </c>
      <c r="J43" s="28" t="inlineStr">
        <is>
          <t>Higgins Protein Egg Food, 5 oz (3 Pack)</t>
        </is>
      </c>
      <c r="K43" s="29" t="inlineStr">
        <is>
          <t>Amazon</t>
        </is>
      </c>
      <c r="L43" s="28" t="inlineStr">
        <is>
          <t>https://www.amazon.com/dp/B07P9VFYVW</t>
        </is>
      </c>
      <c r="M43" s="30">
        <f>IF(ISNUMBER(SEARCH("/dp/",L43)),MID(L43,SEARCH("/dp/",L43)+4,10),"")</f>
        <v/>
      </c>
      <c r="N43" s="28" t="inlineStr">
        <is>
          <t>https://www.amazon.com/dp/B07P9VFYVW?tag=beastlyfacts-20</t>
        </is>
      </c>
      <c r="O43" s="29" t="inlineStr">
        <is>
          <t>check</t>
        </is>
      </c>
      <c r="P43" s="31" t="n"/>
      <c r="Q43" s="29" t="inlineStr">
        <is>
          <t>No</t>
        </is>
      </c>
      <c r="R43" s="32" t="inlineStr">
        <is>
          <t>2026-09-28</t>
        </is>
      </c>
      <c r="S43" s="28" t="inlineStr">
        <is>
          <t>Catalog slug: egg-food-higgins-3pack.</t>
        </is>
      </c>
    </row>
    <row r="44">
      <c r="A44" s="41" t="inlineStr">
        <is>
          <t>3 Repeat purchase</t>
        </is>
      </c>
      <c r="B44" s="26" t="inlineStr">
        <is>
          <t>NEED</t>
        </is>
      </c>
      <c r="C44" s="36" t="inlineStr">
        <is>
          <t>Food and supplements</t>
        </is>
      </c>
      <c r="D44" s="28" t="inlineStr">
        <is>
          <t>Reptile multivitamin with preformed (true) vitamin A, not beta carotene only</t>
        </is>
      </c>
      <c r="E44" s="29" t="n">
        <v>2</v>
      </c>
      <c r="F44" s="28" t="inlineStr">
        <is>
          <t>Ackie monitor, Veiled chameleon</t>
        </is>
      </c>
      <c r="G44" s="28" t="inlineStr">
        <is>
          <t>Hub</t>
        </is>
      </c>
      <c r="H44" s="28" t="inlineStr"/>
      <c r="I44" s="29" t="inlineStr">
        <is>
          <t>Added to catalog</t>
        </is>
      </c>
      <c r="J44" s="28" t="inlineStr">
        <is>
          <t>Repashy SuperFoods Vitamin A Plus, 3 oz</t>
        </is>
      </c>
      <c r="K44" s="29" t="inlineStr">
        <is>
          <t>Amazon</t>
        </is>
      </c>
      <c r="L44" s="28" t="inlineStr">
        <is>
          <t>https://www.amazon.com/dp/B0D6D8XYLV</t>
        </is>
      </c>
      <c r="M44" s="30">
        <f>IF(ISNUMBER(SEARCH("/dp/",L44)),MID(L44,SEARCH("/dp/",L44)+4,10),"")</f>
        <v/>
      </c>
      <c r="N44" s="28" t="inlineStr">
        <is>
          <t>https://www.amazon.com/dp/B0D6D8XYLV?tag=beastlyfacts-20</t>
        </is>
      </c>
      <c r="O44" s="29" t="inlineStr">
        <is>
          <t>check</t>
        </is>
      </c>
      <c r="P44" s="31" t="n"/>
      <c r="Q44" s="29" t="inlineStr">
        <is>
          <t>No</t>
        </is>
      </c>
      <c r="R44" s="32" t="inlineStr">
        <is>
          <t>2026-09-28</t>
        </is>
      </c>
      <c r="S44" s="28" t="inlineStr">
        <is>
          <t>Catalog slug: vitamin-repashy-vitamin-a-plus.</t>
        </is>
      </c>
    </row>
    <row r="45">
      <c r="A45" s="41" t="inlineStr">
        <is>
          <t>3 Repeat purchase</t>
        </is>
      </c>
      <c r="B45" s="26" t="inlineStr">
        <is>
          <t>NEED</t>
        </is>
      </c>
      <c r="C45" s="37" t="inlineStr">
        <is>
          <t>Substrate</t>
        </is>
      </c>
      <c r="D45" s="28" t="inlineStr">
        <is>
          <t>Compressed wood-pellet or paper-pellet litter</t>
        </is>
      </c>
      <c r="E45" s="29" t="n">
        <v>2</v>
      </c>
      <c r="F45" s="28" t="inlineStr">
        <is>
          <t>Rabbit, Ferret</t>
        </is>
      </c>
      <c r="G45" s="28" t="inlineStr">
        <is>
          <t>Hub</t>
        </is>
      </c>
      <c r="H45" s="28" t="inlineStr"/>
      <c r="I45" s="29" t="inlineStr">
        <is>
          <t>Added to catalog</t>
        </is>
      </c>
      <c r="J45" s="28" t="inlineStr">
        <is>
          <t>Oxbow Eco Straw Pelleted Litter, 20 lb</t>
        </is>
      </c>
      <c r="K45" s="29" t="inlineStr">
        <is>
          <t>Amazon</t>
        </is>
      </c>
      <c r="L45" s="28" t="inlineStr">
        <is>
          <t>https://www.amazon.com/dp/B0017JGBAQ</t>
        </is>
      </c>
      <c r="M45" s="30">
        <f>IF(ISNUMBER(SEARCH("/dp/",L45)),MID(L45,SEARCH("/dp/",L45)+4,10),"")</f>
        <v/>
      </c>
      <c r="N45" s="28" t="inlineStr">
        <is>
          <t>https://www.amazon.com/dp/B0017JGBAQ?tag=beastlyfacts-20</t>
        </is>
      </c>
      <c r="O45" s="29" t="inlineStr">
        <is>
          <t>check</t>
        </is>
      </c>
      <c r="P45" s="31" t="n"/>
      <c r="Q45" s="29" t="inlineStr">
        <is>
          <t>No</t>
        </is>
      </c>
      <c r="R45" s="32" t="inlineStr">
        <is>
          <t>2026-09-28</t>
        </is>
      </c>
      <c r="S45" s="28" t="inlineStr">
        <is>
          <t>Catalog slug: litter-oxbow-eco-straw-20lb.</t>
        </is>
      </c>
    </row>
    <row r="46">
      <c r="A46" s="41" t="inlineStr">
        <is>
          <t>3 Repeat purchase</t>
        </is>
      </c>
      <c r="B46" s="26" t="inlineStr">
        <is>
          <t>NEED</t>
        </is>
      </c>
      <c r="C46" s="36" t="inlineStr">
        <is>
          <t>Food and supplements</t>
        </is>
      </c>
      <c r="D46" s="28" t="inlineStr">
        <is>
          <t>Betta-specific pellets</t>
        </is>
      </c>
      <c r="E46" s="29" t="n">
        <v>1</v>
      </c>
      <c r="F46" s="28" t="inlineStr">
        <is>
          <t>Betta</t>
        </is>
      </c>
      <c r="G46" s="28" t="inlineStr">
        <is>
          <t>Hub</t>
        </is>
      </c>
      <c r="H46" s="28" t="inlineStr"/>
      <c r="I46" s="29" t="inlineStr">
        <is>
          <t>Added to catalog</t>
        </is>
      </c>
      <c r="J46" s="28" t="inlineStr">
        <is>
          <t>Hikari Betta Bio-Gold, 0.70 oz</t>
        </is>
      </c>
      <c r="K46" s="29" t="inlineStr">
        <is>
          <t>Amazon</t>
        </is>
      </c>
      <c r="L46" s="28" t="inlineStr">
        <is>
          <t>https://www.amazon.com/dp/B00025Z74C</t>
        </is>
      </c>
      <c r="M46" s="30">
        <f>IF(ISNUMBER(SEARCH("/dp/",L46)),MID(L46,SEARCH("/dp/",L46)+4,10),"")</f>
        <v/>
      </c>
      <c r="N46" s="28" t="inlineStr">
        <is>
          <t>https://www.amazon.com/dp/B00025Z74C?tag=beastlyfacts-20</t>
        </is>
      </c>
      <c r="O46" s="29" t="inlineStr">
        <is>
          <t>check</t>
        </is>
      </c>
      <c r="P46" s="31" t="n"/>
      <c r="Q46" s="29" t="inlineStr">
        <is>
          <t>No</t>
        </is>
      </c>
      <c r="R46" s="32" t="inlineStr">
        <is>
          <t>2026-09-28</t>
        </is>
      </c>
      <c r="S46" s="28" t="inlineStr">
        <is>
          <t>Catalog slug: betta-food-hikari-bio-gold.</t>
        </is>
      </c>
    </row>
    <row r="47">
      <c r="A47" s="41" t="inlineStr">
        <is>
          <t>3 Repeat purchase</t>
        </is>
      </c>
      <c r="B47" s="26" t="inlineStr">
        <is>
          <t>NEED</t>
        </is>
      </c>
      <c r="C47" s="36" t="inlineStr">
        <is>
          <t>Food and supplements</t>
        </is>
      </c>
      <c r="D47" s="28" t="inlineStr">
        <is>
          <t>Commercial hermit crab food</t>
        </is>
      </c>
      <c r="E47" s="29" t="n">
        <v>1</v>
      </c>
      <c r="F47" s="28" t="inlineStr">
        <is>
          <t>Hermit crab</t>
        </is>
      </c>
      <c r="G47" s="28" t="inlineStr">
        <is>
          <t>Hub</t>
        </is>
      </c>
      <c r="H47" s="28" t="inlineStr"/>
      <c r="I47" s="29" t="inlineStr">
        <is>
          <t>Added to catalog</t>
        </is>
      </c>
      <c r="J47" s="28" t="inlineStr">
        <is>
          <t>Zoo Med Hermit Crab Food</t>
        </is>
      </c>
      <c r="K47" s="29" t="inlineStr">
        <is>
          <t>Amazon</t>
        </is>
      </c>
      <c r="L47" s="28" t="inlineStr">
        <is>
          <t>https://www.amazon.com/dp/B00027ZVDM</t>
        </is>
      </c>
      <c r="M47" s="30">
        <f>IF(ISNUMBER(SEARCH("/dp/",L47)),MID(L47,SEARCH("/dp/",L47)+4,10),"")</f>
        <v/>
      </c>
      <c r="N47" s="28" t="inlineStr">
        <is>
          <t>https://www.amazon.com/dp/B00027ZVDM?tag=beastlyfacts-20</t>
        </is>
      </c>
      <c r="O47" s="29" t="inlineStr">
        <is>
          <t>check</t>
        </is>
      </c>
      <c r="P47" s="31" t="n"/>
      <c r="Q47" s="29" t="inlineStr">
        <is>
          <t>No</t>
        </is>
      </c>
      <c r="R47" s="32" t="inlineStr">
        <is>
          <t>2026-09-28</t>
        </is>
      </c>
      <c r="S47" s="28" t="inlineStr">
        <is>
          <t>Catalog slug: hermit-crab-food-zoo-med.</t>
        </is>
      </c>
    </row>
    <row r="48">
      <c r="A48" s="41" t="inlineStr">
        <is>
          <t>3 Repeat purchase</t>
        </is>
      </c>
      <c r="B48" s="26" t="inlineStr">
        <is>
          <t>NEED</t>
        </is>
      </c>
      <c r="C48" s="36" t="inlineStr">
        <is>
          <t>Food and supplements</t>
        </is>
      </c>
      <c r="D48" s="28" t="inlineStr">
        <is>
          <t>Commercial roach chow</t>
        </is>
      </c>
      <c r="E48" s="29" t="n">
        <v>1</v>
      </c>
      <c r="F48" s="28" t="inlineStr">
        <is>
          <t>Hissing cockroach</t>
        </is>
      </c>
      <c r="G48" s="28" t="inlineStr">
        <is>
          <t>Hub</t>
        </is>
      </c>
      <c r="H48" s="28" t="inlineStr"/>
      <c r="I48" s="29" t="inlineStr">
        <is>
          <t>Added to catalog</t>
        </is>
      </c>
      <c r="J48" s="28" t="inlineStr">
        <is>
          <t>Josh's Frogs Roach Rations, 1 Gallon</t>
        </is>
      </c>
      <c r="K48" s="29" t="inlineStr">
        <is>
          <t>Amazon</t>
        </is>
      </c>
      <c r="L48" s="28" t="inlineStr">
        <is>
          <t>https://www.amazon.com/dp/B01MZH5FFU</t>
        </is>
      </c>
      <c r="M48" s="30">
        <f>IF(ISNUMBER(SEARCH("/dp/",L48)),MID(L48,SEARCH("/dp/",L48)+4,10),"")</f>
        <v/>
      </c>
      <c r="N48" s="28" t="inlineStr">
        <is>
          <t>https://www.amazon.com/dp/B01MZH5FFU?tag=beastlyfacts-20</t>
        </is>
      </c>
      <c r="O48" s="29" t="inlineStr">
        <is>
          <t>check</t>
        </is>
      </c>
      <c r="P48" s="31" t="n"/>
      <c r="Q48" s="29" t="inlineStr">
        <is>
          <t>No</t>
        </is>
      </c>
      <c r="R48" s="32" t="inlineStr">
        <is>
          <t>2026-09-28</t>
        </is>
      </c>
      <c r="S48" s="28" t="inlineStr">
        <is>
          <t>Catalog slug: roach-food-joshs-frogs-roach-rations.</t>
        </is>
      </c>
    </row>
    <row r="49">
      <c r="A49" s="41" t="inlineStr">
        <is>
          <t>3 Repeat purchase</t>
        </is>
      </c>
      <c r="B49" s="26" t="inlineStr">
        <is>
          <t>NEED</t>
        </is>
      </c>
      <c r="C49" s="36" t="inlineStr">
        <is>
          <t>Food and supplements</t>
        </is>
      </c>
      <c r="D49" s="28" t="inlineStr">
        <is>
          <t>Discus-formulated pellet or granule, small size</t>
        </is>
      </c>
      <c r="E49" s="29" t="n">
        <v>1</v>
      </c>
      <c r="F49" s="28" t="inlineStr">
        <is>
          <t>Discus</t>
        </is>
      </c>
      <c r="G49" s="28" t="inlineStr">
        <is>
          <t>Hub, Cost</t>
        </is>
      </c>
      <c r="H49" s="28" t="inlineStr"/>
      <c r="I49" s="29" t="inlineStr">
        <is>
          <t>Added to catalog</t>
        </is>
      </c>
      <c r="J49" s="28" t="inlineStr">
        <is>
          <t>Hikari Discus Bio-Gold, 2.82 oz</t>
        </is>
      </c>
      <c r="K49" s="29" t="inlineStr">
        <is>
          <t>Amazon</t>
        </is>
      </c>
      <c r="L49" s="28" t="inlineStr">
        <is>
          <t>https://www.amazon.com/dp/B00025JZBS</t>
        </is>
      </c>
      <c r="M49" s="30">
        <f>IF(ISNUMBER(SEARCH("/dp/",L49)),MID(L49,SEARCH("/dp/",L49)+4,10),"")</f>
        <v/>
      </c>
      <c r="N49" s="28" t="inlineStr">
        <is>
          <t>https://www.amazon.com/dp/B00025JZBS?tag=beastlyfacts-20</t>
        </is>
      </c>
      <c r="O49" s="29" t="inlineStr">
        <is>
          <t>check</t>
        </is>
      </c>
      <c r="P49" s="31" t="n"/>
      <c r="Q49" s="29" t="inlineStr">
        <is>
          <t>No</t>
        </is>
      </c>
      <c r="R49" s="32" t="inlineStr">
        <is>
          <t>2026-09-28</t>
        </is>
      </c>
      <c r="S49" s="28" t="inlineStr">
        <is>
          <t>Catalog slug: discus-food-hikari-bio-gold.</t>
        </is>
      </c>
    </row>
    <row r="50">
      <c r="A50" s="41" t="inlineStr">
        <is>
          <t>3 Repeat purchase</t>
        </is>
      </c>
      <c r="B50" s="26" t="inlineStr">
        <is>
          <t>NEED</t>
        </is>
      </c>
      <c r="C50" s="36" t="inlineStr">
        <is>
          <t>Food and supplements</t>
        </is>
      </c>
      <c r="D50" s="28" t="inlineStr">
        <is>
          <t>Finch seed mix, millet and canary seed based</t>
        </is>
      </c>
      <c r="E50" s="29" t="n">
        <v>1</v>
      </c>
      <c r="F50" s="28" t="inlineStr">
        <is>
          <t>Zebra finch</t>
        </is>
      </c>
      <c r="G50" s="28" t="inlineStr">
        <is>
          <t>Hub</t>
        </is>
      </c>
      <c r="H50" s="28" t="inlineStr"/>
      <c r="I50" s="29" t="inlineStr">
        <is>
          <t>Added to catalog</t>
        </is>
      </c>
      <c r="J50" s="28" t="inlineStr">
        <is>
          <t>Higgins Vita Seed Finch Food, 25 lb</t>
        </is>
      </c>
      <c r="K50" s="29" t="inlineStr">
        <is>
          <t>Amazon</t>
        </is>
      </c>
      <c r="L50" s="28" t="inlineStr">
        <is>
          <t>https://www.amazon.com/dp/B00E1JOYEY</t>
        </is>
      </c>
      <c r="M50" s="30">
        <f>IF(ISNUMBER(SEARCH("/dp/",L50)),MID(L50,SEARCH("/dp/",L50)+4,10),"")</f>
        <v/>
      </c>
      <c r="N50" s="28" t="inlineStr">
        <is>
          <t>https://www.amazon.com/dp/B00E1JOYEY?tag=beastlyfacts-20</t>
        </is>
      </c>
      <c r="O50" s="29" t="inlineStr">
        <is>
          <t>check</t>
        </is>
      </c>
      <c r="P50" s="31" t="n"/>
      <c r="Q50" s="29" t="inlineStr">
        <is>
          <t>No</t>
        </is>
      </c>
      <c r="R50" s="32" t="inlineStr">
        <is>
          <t>2026-09-28</t>
        </is>
      </c>
      <c r="S50" s="28" t="inlineStr">
        <is>
          <t>Catalog slug: finch-seed-higgins-vita-25lb.</t>
        </is>
      </c>
    </row>
    <row r="51">
      <c r="A51" s="41" t="inlineStr">
        <is>
          <t>3 Repeat purchase</t>
        </is>
      </c>
      <c r="B51" s="26" t="inlineStr">
        <is>
          <t>NEED</t>
        </is>
      </c>
      <c r="C51" s="36" t="inlineStr">
        <is>
          <t>Food and supplements</t>
        </is>
      </c>
      <c r="D51" s="28" t="inlineStr">
        <is>
          <t>Guinea pig pellets, timothy based, vitamin C fortified</t>
        </is>
      </c>
      <c r="E51" s="29" t="n">
        <v>1</v>
      </c>
      <c r="F51" s="28" t="inlineStr">
        <is>
          <t>Guinea pig</t>
        </is>
      </c>
      <c r="G51" s="28" t="inlineStr">
        <is>
          <t>Hub</t>
        </is>
      </c>
      <c r="H51" s="28" t="inlineStr"/>
      <c r="I51" s="29" t="inlineStr">
        <is>
          <t>Added to catalog</t>
        </is>
      </c>
      <c r="J51" s="28" t="inlineStr">
        <is>
          <t>Oxbow Essentials Adult Guinea Pig Food, 10 lb</t>
        </is>
      </c>
      <c r="K51" s="29" t="inlineStr">
        <is>
          <t>Amazon</t>
        </is>
      </c>
      <c r="L51" s="28" t="inlineStr">
        <is>
          <t>https://www.amazon.com/dp/B0017JFIDC</t>
        </is>
      </c>
      <c r="M51" s="30">
        <f>IF(ISNUMBER(SEARCH("/dp/",L51)),MID(L51,SEARCH("/dp/",L51)+4,10),"")</f>
        <v/>
      </c>
      <c r="N51" s="28" t="inlineStr">
        <is>
          <t>https://www.amazon.com/dp/B0017JFIDC?tag=beastlyfacts-20</t>
        </is>
      </c>
      <c r="O51" s="29" t="inlineStr">
        <is>
          <t>check</t>
        </is>
      </c>
      <c r="P51" s="31" t="n"/>
      <c r="Q51" s="29" t="inlineStr">
        <is>
          <t>No</t>
        </is>
      </c>
      <c r="R51" s="32" t="inlineStr">
        <is>
          <t>2026-09-28</t>
        </is>
      </c>
      <c r="S51" s="28" t="inlineStr">
        <is>
          <t>Catalog slug: guinea-pig-food-oxbow-essentials-adult.</t>
        </is>
      </c>
    </row>
    <row r="52">
      <c r="A52" s="41" t="inlineStr">
        <is>
          <t>3 Repeat purchase</t>
        </is>
      </c>
      <c r="B52" s="26" t="inlineStr">
        <is>
          <t>NEED</t>
        </is>
      </c>
      <c r="C52" s="36" t="inlineStr">
        <is>
          <t>Food and supplements</t>
        </is>
      </c>
      <c r="D52" s="28" t="inlineStr">
        <is>
          <t>Hedgehog-formulated dry food</t>
        </is>
      </c>
      <c r="E52" s="29" t="n">
        <v>1</v>
      </c>
      <c r="F52" s="28" t="inlineStr">
        <is>
          <t>Hedgehog</t>
        </is>
      </c>
      <c r="G52" s="28" t="inlineStr">
        <is>
          <t>Hub</t>
        </is>
      </c>
      <c r="H52" s="28" t="inlineStr"/>
      <c r="I52" s="29" t="inlineStr">
        <is>
          <t>Added to catalog</t>
        </is>
      </c>
      <c r="J52" s="28" t="inlineStr">
        <is>
          <t>Exotic Nutrition Hedgehog Complete, 2 lb</t>
        </is>
      </c>
      <c r="K52" s="29" t="inlineStr">
        <is>
          <t>Amazon</t>
        </is>
      </c>
      <c r="L52" s="28" t="inlineStr">
        <is>
          <t>https://www.amazon.com/dp/B01HOYD69Q</t>
        </is>
      </c>
      <c r="M52" s="30">
        <f>IF(ISNUMBER(SEARCH("/dp/",L52)),MID(L52,SEARCH("/dp/",L52)+4,10),"")</f>
        <v/>
      </c>
      <c r="N52" s="28" t="inlineStr">
        <is>
          <t>https://www.amazon.com/dp/B01HOYD69Q?tag=beastlyfacts-20</t>
        </is>
      </c>
      <c r="O52" s="29" t="inlineStr">
        <is>
          <t>check</t>
        </is>
      </c>
      <c r="P52" s="31" t="n"/>
      <c r="Q52" s="29" t="inlineStr">
        <is>
          <t>No</t>
        </is>
      </c>
      <c r="R52" s="32" t="inlineStr">
        <is>
          <t>2026-09-28</t>
        </is>
      </c>
      <c r="S52" s="28" t="inlineStr">
        <is>
          <t>Catalog slug: hedgehog-food-exotic-nutrition-complete.</t>
        </is>
      </c>
    </row>
    <row r="53">
      <c r="A53" s="41" t="inlineStr">
        <is>
          <t>3 Repeat purchase</t>
        </is>
      </c>
      <c r="B53" s="26" t="inlineStr">
        <is>
          <t>NEED</t>
        </is>
      </c>
      <c r="C53" s="40" t="inlineStr">
        <is>
          <t>Health and first aid</t>
        </is>
      </c>
      <c r="D53" s="28" t="inlineStr">
        <is>
          <t>Plain additive-free aquarium salt (sodium chloride, not marine mix)</t>
        </is>
      </c>
      <c r="E53" s="29" t="n">
        <v>1</v>
      </c>
      <c r="F53" s="28" t="inlineStr">
        <is>
          <t>Molly</t>
        </is>
      </c>
      <c r="G53" s="28" t="inlineStr">
        <is>
          <t>Hub, Cost</t>
        </is>
      </c>
      <c r="H53" s="28" t="inlineStr"/>
      <c r="I53" s="29" t="inlineStr">
        <is>
          <t>Added to catalog</t>
        </is>
      </c>
      <c r="J53" s="28" t="inlineStr">
        <is>
          <t>API Aquarium Salt, 33 oz</t>
        </is>
      </c>
      <c r="K53" s="29" t="inlineStr">
        <is>
          <t>Amazon</t>
        </is>
      </c>
      <c r="L53" s="28" t="inlineStr">
        <is>
          <t>https://www.amazon.com/dp/B0010P82UO</t>
        </is>
      </c>
      <c r="M53" s="30">
        <f>IF(ISNUMBER(SEARCH("/dp/",L53)),MID(L53,SEARCH("/dp/",L53)+4,10),"")</f>
        <v/>
      </c>
      <c r="N53" s="28" t="inlineStr">
        <is>
          <t>https://www.amazon.com/dp/B0010P82UO?tag=beastlyfacts-20</t>
        </is>
      </c>
      <c r="O53" s="29" t="inlineStr">
        <is>
          <t>check</t>
        </is>
      </c>
      <c r="P53" s="31" t="n"/>
      <c r="Q53" s="29" t="inlineStr">
        <is>
          <t>No</t>
        </is>
      </c>
      <c r="R53" s="32" t="inlineStr">
        <is>
          <t>2026-09-28</t>
        </is>
      </c>
      <c r="S53" s="28" t="inlineStr">
        <is>
          <t>Catalog slug: aquarium-salt-api-33oz.</t>
        </is>
      </c>
    </row>
    <row r="54">
      <c r="A54" s="41" t="inlineStr">
        <is>
          <t>3 Repeat purchase</t>
        </is>
      </c>
      <c r="B54" s="26" t="inlineStr">
        <is>
          <t>NEED</t>
        </is>
      </c>
      <c r="C54" s="37" t="inlineStr">
        <is>
          <t>Substrate</t>
        </is>
      </c>
      <c r="D54" s="28" t="inlineStr">
        <is>
          <t>Kiln-dried pine shavings</t>
        </is>
      </c>
      <c r="E54" s="29" t="n">
        <v>1</v>
      </c>
      <c r="F54" s="28" t="inlineStr">
        <is>
          <t>Guinea pig</t>
        </is>
      </c>
      <c r="G54" s="28" t="inlineStr">
        <is>
          <t>Hub</t>
        </is>
      </c>
      <c r="H54" s="28" t="inlineStr"/>
      <c r="I54" s="29" t="inlineStr">
        <is>
          <t>Added to catalog</t>
        </is>
      </c>
      <c r="J54" s="28" t="inlineStr">
        <is>
          <t>Kaytee Pine Bedding, 19.7 L</t>
        </is>
      </c>
      <c r="K54" s="29" t="inlineStr">
        <is>
          <t>Amazon</t>
        </is>
      </c>
      <c r="L54" s="28" t="inlineStr">
        <is>
          <t>https://www.amazon.com/dp/B000LNQNHK</t>
        </is>
      </c>
      <c r="M54" s="30">
        <f>IF(ISNUMBER(SEARCH("/dp/",L54)),MID(L54,SEARCH("/dp/",L54)+4,10),"")</f>
        <v/>
      </c>
      <c r="N54" s="28" t="inlineStr">
        <is>
          <t>https://www.amazon.com/dp/B000LNQNHK?tag=beastlyfacts-20</t>
        </is>
      </c>
      <c r="O54" s="29" t="inlineStr">
        <is>
          <t>check</t>
        </is>
      </c>
      <c r="P54" s="31" t="n"/>
      <c r="Q54" s="29" t="inlineStr">
        <is>
          <t>No</t>
        </is>
      </c>
      <c r="R54" s="32" t="inlineStr">
        <is>
          <t>2026-09-28</t>
        </is>
      </c>
      <c r="S54" s="28" t="inlineStr">
        <is>
          <t>Catalog slug: bedding-kaytee-pine-19l.</t>
        </is>
      </c>
    </row>
    <row r="55">
      <c r="A55" s="42" t="inlineStr">
        <is>
          <t>4 Standard</t>
        </is>
      </c>
      <c r="B55" s="26" t="inlineStr">
        <is>
          <t>NEED</t>
        </is>
      </c>
      <c r="C55" s="38" t="inlineStr">
        <is>
          <t>Enclosures and cages</t>
        </is>
      </c>
      <c r="D55" s="28" t="inlineStr">
        <is>
          <t>Glass aquarium lid, hinged, for a 20-long or 29-gallon (30x12 in)</t>
        </is>
      </c>
      <c r="E55" s="29" t="n">
        <v>6</v>
      </c>
      <c r="F55" s="28" t="inlineStr">
        <is>
          <t>Molly, Platy, Swordtail, Zebra danio, Guppy, Goldfish</t>
        </is>
      </c>
      <c r="G55" s="28" t="inlineStr">
        <is>
          <t>Hub</t>
        </is>
      </c>
      <c r="H55" s="28" t="inlineStr"/>
      <c r="I55" s="29" t="inlineStr">
        <is>
          <t>To find</t>
        </is>
      </c>
      <c r="J55" s="28" t="n"/>
      <c r="K55" s="29" t="n"/>
      <c r="L55" s="28" t="n"/>
      <c r="M55" s="30">
        <f>IF(ISNUMBER(SEARCH("/dp/",L55)),MID(L55,SEARCH("/dp/",L55)+4,10),"")</f>
        <v/>
      </c>
      <c r="N55" s="28" t="n"/>
      <c r="O55" s="29" t="n"/>
      <c r="P55" s="31" t="n"/>
      <c r="Q55" s="29" t="n"/>
      <c r="R55" s="32" t="n"/>
      <c r="S55" s="28" t="n"/>
    </row>
    <row r="56">
      <c r="A56" s="42" t="inlineStr">
        <is>
          <t>4 Standard</t>
        </is>
      </c>
      <c r="B56" s="26" t="inlineStr">
        <is>
          <t>NEED</t>
        </is>
      </c>
      <c r="C56" s="35" t="inlineStr">
        <is>
          <t>Lighting</t>
        </is>
      </c>
      <c r="D56" s="28" t="inlineStr">
        <is>
          <t>Avian full-spectrum UVB lamp and fixture (UVB 5.0 class, bird-specific), mounted 12 to 18 in from the perch</t>
        </is>
      </c>
      <c r="E56" s="29" t="n">
        <v>6</v>
      </c>
      <c r="F56" s="28" t="inlineStr">
        <is>
          <t>African grey, Conure, Flying squirrel, Cockatoo, Quaker parakeet, Zebra finch</t>
        </is>
      </c>
      <c r="G56" s="28" t="inlineStr">
        <is>
          <t>Hub, Cost, Setup prose</t>
        </is>
      </c>
      <c r="H56" s="28" t="inlineStr"/>
      <c r="I56" s="29" t="inlineStr">
        <is>
          <t>To find</t>
        </is>
      </c>
      <c r="J56" s="28" t="n"/>
      <c r="K56" s="29" t="n"/>
      <c r="L56" s="28" t="n"/>
      <c r="M56" s="30">
        <f>IF(ISNUMBER(SEARCH("/dp/",L56)),MID(L56,SEARCH("/dp/",L56)+4,10),"")</f>
        <v/>
      </c>
      <c r="N56" s="28" t="n"/>
      <c r="O56" s="29" t="n"/>
      <c r="P56" s="31" t="n"/>
      <c r="Q56" s="29" t="n"/>
      <c r="R56" s="32" t="n"/>
      <c r="S56" s="28" t="n"/>
    </row>
    <row r="57">
      <c r="A57" s="42" t="inlineStr">
        <is>
          <t>4 Standard</t>
        </is>
      </c>
      <c r="B57" s="26" t="inlineStr">
        <is>
          <t>NEED</t>
        </is>
      </c>
      <c r="C57" s="35" t="inlineStr">
        <is>
          <t>Lighting</t>
        </is>
      </c>
      <c r="D57" s="28" t="inlineStr">
        <is>
          <t>Bright high-output 6500K LED daylight bar, 36 to 48 in or longer, for large desert and monitor enclosures</t>
        </is>
      </c>
      <c r="E57" s="29" t="n">
        <v>6</v>
      </c>
      <c r="F57" s="28" t="inlineStr">
        <is>
          <t>Argentine tegu, Ackie monitor, Savannah monitor, Uromastyx, Bearded dragon, Russian tortoise</t>
        </is>
      </c>
      <c r="G57" s="28" t="inlineStr">
        <is>
          <t>Hub, Setup prose</t>
        </is>
      </c>
      <c r="H57" s="28" t="inlineStr"/>
      <c r="I57" s="29" t="inlineStr">
        <is>
          <t>To find</t>
        </is>
      </c>
      <c r="J57" s="28" t="n"/>
      <c r="K57" s="29" t="n"/>
      <c r="L57" s="28" t="n"/>
      <c r="M57" s="30">
        <f>IF(ISNUMBER(SEARCH("/dp/",L57)),MID(L57,SEARCH("/dp/",L57)+4,10),"")</f>
        <v/>
      </c>
      <c r="N57" s="28" t="n"/>
      <c r="O57" s="29" t="n"/>
      <c r="P57" s="31" t="n"/>
      <c r="Q57" s="29" t="n"/>
      <c r="R57" s="32" t="n"/>
      <c r="S57" s="28" t="n"/>
    </row>
    <row r="58">
      <c r="A58" s="42" t="inlineStr">
        <is>
          <t>4 Standard</t>
        </is>
      </c>
      <c r="B58" s="26" t="inlineStr">
        <is>
          <t>NEED</t>
        </is>
      </c>
      <c r="C58" s="35" t="inlineStr">
        <is>
          <t>Lighting</t>
        </is>
      </c>
      <c r="D58" s="28" t="inlineStr">
        <is>
          <t>Small low-output 6500K LED plant or grow light, 12 to 24 in, for planted terrariums and photoperiod</t>
        </is>
      </c>
      <c r="E58" s="29" t="n">
        <v>6</v>
      </c>
      <c r="F58" s="28" t="inlineStr">
        <is>
          <t>Green anole, Tiger salamander, Ball python, Stick insect, Giant millipede, Jumping spider</t>
        </is>
      </c>
      <c r="G58" s="28" t="inlineStr">
        <is>
          <t>Hub, Cost, Setup prose</t>
        </is>
      </c>
      <c r="H58" s="28" t="inlineStr">
        <is>
          <t>(photoperiod LED)</t>
        </is>
      </c>
      <c r="I58" s="29" t="inlineStr">
        <is>
          <t>To find</t>
        </is>
      </c>
      <c r="J58" s="28" t="n"/>
      <c r="K58" s="29" t="n"/>
      <c r="L58" s="28" t="n"/>
      <c r="M58" s="30">
        <f>IF(ISNUMBER(SEARCH("/dp/",L58)),MID(L58,SEARCH("/dp/",L58)+4,10),"")</f>
        <v/>
      </c>
      <c r="N58" s="28" t="n"/>
      <c r="O58" s="29" t="n"/>
      <c r="P58" s="31" t="n"/>
      <c r="Q58" s="29" t="n"/>
      <c r="R58" s="32" t="n"/>
      <c r="S58" s="28" t="n"/>
    </row>
    <row r="59">
      <c r="A59" s="42" t="inlineStr">
        <is>
          <t>4 Standard</t>
        </is>
      </c>
      <c r="B59" s="26" t="inlineStr">
        <is>
          <t>NEED</t>
        </is>
      </c>
      <c r="C59" s="38" t="inlineStr">
        <is>
          <t>Enclosures and cages</t>
        </is>
      </c>
      <c r="D59" s="28" t="inlineStr">
        <is>
          <t>Glass aquarium lid, hinged, for a 10-gallon (20x10 in)</t>
        </is>
      </c>
      <c r="E59" s="29" t="n">
        <v>5</v>
      </c>
      <c r="F59" s="28" t="inlineStr">
        <is>
          <t>Guppy, Platy, Zebra danio, Amano shrimp, Hermit crab</t>
        </is>
      </c>
      <c r="G59" s="28" t="inlineStr">
        <is>
          <t>Hub</t>
        </is>
      </c>
      <c r="H59" s="28" t="inlineStr">
        <is>
          <t>(sealing lid that holds humidity)</t>
        </is>
      </c>
      <c r="I59" s="29" t="inlineStr">
        <is>
          <t>To find</t>
        </is>
      </c>
      <c r="J59" s="28" t="n"/>
      <c r="K59" s="29" t="n"/>
      <c r="L59" s="28" t="n"/>
      <c r="M59" s="30">
        <f>IF(ISNUMBER(SEARCH("/dp/",L59)),MID(L59,SEARCH("/dp/",L59)+4,10),"")</f>
        <v/>
      </c>
      <c r="N59" s="28" t="n"/>
      <c r="O59" s="29" t="n"/>
      <c r="P59" s="31" t="n"/>
      <c r="Q59" s="29" t="n"/>
      <c r="R59" s="32" t="n"/>
      <c r="S59" s="28" t="n"/>
    </row>
    <row r="60">
      <c r="A60" s="42" t="inlineStr">
        <is>
          <t>4 Standard</t>
        </is>
      </c>
      <c r="B60" s="26" t="inlineStr">
        <is>
          <t>NEED</t>
        </is>
      </c>
      <c r="C60" s="27" t="inlineStr">
        <is>
          <t>Other</t>
        </is>
      </c>
      <c r="D60" s="28" t="inlineStr">
        <is>
          <t>Flat slate, flagstone or porcelain tile, for floors, feeding tiles and basking stacks</t>
        </is>
      </c>
      <c r="E60" s="29" t="n">
        <v>5</v>
      </c>
      <c r="F60" s="28" t="inlineStr">
        <is>
          <t>Leopard gecko, Bearded dragon, Uromastyx, Russian tortoise, Fire-bellied toad</t>
        </is>
      </c>
      <c r="G60" s="28" t="inlineStr">
        <is>
          <t>Hub</t>
        </is>
      </c>
      <c r="H60" s="28" t="inlineStr"/>
      <c r="I60" s="29" t="inlineStr">
        <is>
          <t>To find</t>
        </is>
      </c>
      <c r="J60" s="28" t="n"/>
      <c r="K60" s="29" t="n"/>
      <c r="L60" s="28" t="n"/>
      <c r="M60" s="30">
        <f>IF(ISNUMBER(SEARCH("/dp/",L60)),MID(L60,SEARCH("/dp/",L60)+4,10),"")</f>
        <v/>
      </c>
      <c r="N60" s="28" t="n"/>
      <c r="O60" s="29" t="n"/>
      <c r="P60" s="31" t="n"/>
      <c r="Q60" s="29" t="n"/>
      <c r="R60" s="32" t="n"/>
      <c r="S60" s="28" t="n"/>
    </row>
    <row r="61">
      <c r="A61" s="42" t="inlineStr">
        <is>
          <t>4 Standard</t>
        </is>
      </c>
      <c r="B61" s="26" t="inlineStr">
        <is>
          <t>NEED</t>
        </is>
      </c>
      <c r="C61" s="27" t="inlineStr">
        <is>
          <t>Other</t>
        </is>
      </c>
      <c r="D61" s="28" t="inlineStr">
        <is>
          <t>Soft fine-mesh aquarium net and transfer cup, plus a large pond net for koi</t>
        </is>
      </c>
      <c r="E61" s="29" t="n">
        <v>5</v>
      </c>
      <c r="F61" s="28" t="inlineStr">
        <is>
          <t>Betta, Goldfish, Amano shrimp, Oscar, Koi</t>
        </is>
      </c>
      <c r="G61" s="28" t="inlineStr">
        <is>
          <t>Hub</t>
        </is>
      </c>
      <c r="H61" s="28" t="inlineStr"/>
      <c r="I61" s="29" t="inlineStr">
        <is>
          <t>To find</t>
        </is>
      </c>
      <c r="J61" s="28" t="n"/>
      <c r="K61" s="29" t="n"/>
      <c r="L61" s="28" t="n"/>
      <c r="M61" s="30">
        <f>IF(ISNUMBER(SEARCH("/dp/",L61)),MID(L61,SEARCH("/dp/",L61)+4,10),"")</f>
        <v/>
      </c>
      <c r="N61" s="28" t="n"/>
      <c r="O61" s="29" t="n"/>
      <c r="P61" s="31" t="n"/>
      <c r="Q61" s="29" t="n"/>
      <c r="R61" s="32" t="n"/>
      <c r="S61" s="28" t="n"/>
    </row>
    <row r="62">
      <c r="A62" s="42" t="inlineStr">
        <is>
          <t>4 Standard</t>
        </is>
      </c>
      <c r="B62" s="26" t="inlineStr">
        <is>
          <t>NEED</t>
        </is>
      </c>
      <c r="C62" s="27" t="inlineStr">
        <is>
          <t>Other</t>
        </is>
      </c>
      <c r="D62" s="28" t="inlineStr">
        <is>
          <t>Washable fleece cage liners, sized to the cage</t>
        </is>
      </c>
      <c r="E62" s="29" t="n">
        <v>5</v>
      </c>
      <c r="F62" s="28" t="inlineStr">
        <is>
          <t>Chinchilla, Guinea pig, Hedgehog, Flying squirrel, Sugar glider</t>
        </is>
      </c>
      <c r="G62" s="28" t="inlineStr">
        <is>
          <t>Hub</t>
        </is>
      </c>
      <c r="H62" s="28" t="inlineStr"/>
      <c r="I62" s="29" t="inlineStr">
        <is>
          <t>To find</t>
        </is>
      </c>
      <c r="J62" s="28" t="n"/>
      <c r="K62" s="29" t="n"/>
      <c r="L62" s="28" t="n"/>
      <c r="M62" s="30">
        <f>IF(ISNUMBER(SEARCH("/dp/",L62)),MID(L62,SEARCH("/dp/",L62)+4,10),"")</f>
        <v/>
      </c>
      <c r="N62" s="28" t="n"/>
      <c r="O62" s="29" t="n"/>
      <c r="P62" s="31" t="n"/>
      <c r="Q62" s="29" t="n"/>
      <c r="R62" s="32" t="n"/>
      <c r="S62" s="28" t="n"/>
    </row>
    <row r="63">
      <c r="A63" s="42" t="inlineStr">
        <is>
          <t>4 Standard</t>
        </is>
      </c>
      <c r="B63" s="26" t="inlineStr">
        <is>
          <t>NEED</t>
        </is>
      </c>
      <c r="C63" s="37" t="inlineStr">
        <is>
          <t>Substrate</t>
        </is>
      </c>
      <c r="D63" s="28" t="inlineStr">
        <is>
          <t>Dark (black) aquarium sand, fine grain</t>
        </is>
      </c>
      <c r="E63" s="29" t="n">
        <v>5</v>
      </c>
      <c r="F63" s="28" t="inlineStr">
        <is>
          <t>Cardinal tetra, Neon tetra, Guppy, Platy, Zebra danio</t>
        </is>
      </c>
      <c r="G63" s="28" t="inlineStr">
        <is>
          <t>Hub, Setup prose</t>
        </is>
      </c>
      <c r="H63" s="28" t="inlineStr"/>
      <c r="I63" s="29" t="inlineStr">
        <is>
          <t>To find</t>
        </is>
      </c>
      <c r="J63" s="28" t="n"/>
      <c r="K63" s="29" t="n"/>
      <c r="L63" s="28" t="n"/>
      <c r="M63" s="30">
        <f>IF(ISNUMBER(SEARCH("/dp/",L63)),MID(L63,SEARCH("/dp/",L63)+4,10),"")</f>
        <v/>
      </c>
      <c r="N63" s="28" t="n"/>
      <c r="O63" s="29" t="n"/>
      <c r="P63" s="31" t="n"/>
      <c r="Q63" s="29" t="n"/>
      <c r="R63" s="32" t="n"/>
      <c r="S63" s="28" t="n"/>
    </row>
    <row r="64">
      <c r="A64" s="42" t="inlineStr">
        <is>
          <t>4 Standard</t>
        </is>
      </c>
      <c r="B64" s="26" t="inlineStr">
        <is>
          <t>NEED</t>
        </is>
      </c>
      <c r="C64" s="43" t="inlineStr">
        <is>
          <t>Filtration</t>
        </is>
      </c>
      <c r="D64" s="28" t="inlineStr">
        <is>
          <t>Gravel vacuum and siphon, hand-start, for 10 to 75 gal tanks</t>
        </is>
      </c>
      <c r="E64" s="29" t="n">
        <v>4</v>
      </c>
      <c r="F64" s="28" t="inlineStr">
        <is>
          <t>Corydoras, Goldfish, Oscar, Betta</t>
        </is>
      </c>
      <c r="G64" s="28" t="inlineStr">
        <is>
          <t>Hub, Setup prose</t>
        </is>
      </c>
      <c r="H64" s="28" t="inlineStr"/>
      <c r="I64" s="29" t="inlineStr">
        <is>
          <t>To find</t>
        </is>
      </c>
      <c r="J64" s="28" t="n"/>
      <c r="K64" s="29" t="n"/>
      <c r="L64" s="28" t="n"/>
      <c r="M64" s="30">
        <f>IF(ISNUMBER(SEARCH("/dp/",L64)),MID(L64,SEARCH("/dp/",L64)+4,10),"")</f>
        <v/>
      </c>
      <c r="N64" s="28" t="n"/>
      <c r="O64" s="29" t="n"/>
      <c r="P64" s="31" t="n"/>
      <c r="Q64" s="29" t="n"/>
      <c r="R64" s="32" t="n"/>
      <c r="S64" s="28" t="n"/>
    </row>
    <row r="65">
      <c r="A65" s="42" t="inlineStr">
        <is>
          <t>4 Standard</t>
        </is>
      </c>
      <c r="B65" s="26" t="inlineStr">
        <is>
          <t>NEED</t>
        </is>
      </c>
      <c r="C65" s="38" t="inlineStr">
        <is>
          <t>Enclosures and cages</t>
        </is>
      </c>
      <c r="D65" s="28" t="inlineStr">
        <is>
          <t>29-gallon aquarium (30x12x18 in)</t>
        </is>
      </c>
      <c r="E65" s="29" t="n">
        <v>3</v>
      </c>
      <c r="F65" s="28" t="inlineStr">
        <is>
          <t>Bristlenose pleco, Corydoras, Swordtail</t>
        </is>
      </c>
      <c r="G65" s="28" t="inlineStr">
        <is>
          <t>Hub</t>
        </is>
      </c>
      <c r="H65" s="28" t="inlineStr"/>
      <c r="I65" s="29" t="inlineStr">
        <is>
          <t>To find</t>
        </is>
      </c>
      <c r="J65" s="28" t="n"/>
      <c r="K65" s="29" t="n"/>
      <c r="L65" s="28" t="n"/>
      <c r="M65" s="30">
        <f>IF(ISNUMBER(SEARCH("/dp/",L65)),MID(L65,SEARCH("/dp/",L65)+4,10),"")</f>
        <v/>
      </c>
      <c r="N65" s="28" t="n"/>
      <c r="O65" s="29" t="n"/>
      <c r="P65" s="31" t="n"/>
      <c r="Q65" s="29" t="n"/>
      <c r="R65" s="32" t="n"/>
      <c r="S65" s="28" t="n"/>
    </row>
    <row r="66">
      <c r="A66" s="42" t="inlineStr">
        <is>
          <t>4 Standard</t>
        </is>
      </c>
      <c r="B66" s="26" t="inlineStr">
        <is>
          <t>NEED</t>
        </is>
      </c>
      <c r="C66" s="43" t="inlineStr">
        <is>
          <t>Filtration</t>
        </is>
      </c>
      <c r="D66" s="28" t="inlineStr">
        <is>
          <t>Pre-filter sponge sleeve for a filter intake, shrimp-safe</t>
        </is>
      </c>
      <c r="E66" s="29" t="n">
        <v>3</v>
      </c>
      <c r="F66" s="28" t="inlineStr">
        <is>
          <t>Amano shrimp, Cherry shrimp, Ghost shrimp</t>
        </is>
      </c>
      <c r="G66" s="28" t="inlineStr">
        <is>
          <t>Hub</t>
        </is>
      </c>
      <c r="H66" s="28" t="inlineStr"/>
      <c r="I66" s="29" t="inlineStr">
        <is>
          <t>To find</t>
        </is>
      </c>
      <c r="J66" s="28" t="n"/>
      <c r="K66" s="29" t="n"/>
      <c r="L66" s="28" t="n"/>
      <c r="M66" s="30">
        <f>IF(ISNUMBER(SEARCH("/dp/",L66)),MID(L66,SEARCH("/dp/",L66)+4,10),"")</f>
        <v/>
      </c>
      <c r="N66" s="28" t="n"/>
      <c r="O66" s="29" t="n"/>
      <c r="P66" s="31" t="n"/>
      <c r="Q66" s="29" t="n"/>
      <c r="R66" s="32" t="n"/>
      <c r="S66" s="28" t="n"/>
    </row>
    <row r="67">
      <c r="A67" s="42" t="inlineStr">
        <is>
          <t>4 Standard</t>
        </is>
      </c>
      <c r="B67" s="26" t="inlineStr">
        <is>
          <t>NEED</t>
        </is>
      </c>
      <c r="C67" s="27" t="inlineStr">
        <is>
          <t>Other</t>
        </is>
      </c>
      <c r="D67" s="28" t="inlineStr">
        <is>
          <t>Parrot play stand or play gym, large</t>
        </is>
      </c>
      <c r="E67" s="29" t="n">
        <v>3</v>
      </c>
      <c r="F67" s="28" t="inlineStr">
        <is>
          <t>Cockatoo, African grey, Quaker parakeet</t>
        </is>
      </c>
      <c r="G67" s="28" t="inlineStr">
        <is>
          <t>Hub, Setup prose</t>
        </is>
      </c>
      <c r="H67" s="28" t="inlineStr"/>
      <c r="I67" s="29" t="inlineStr">
        <is>
          <t>To find</t>
        </is>
      </c>
      <c r="J67" s="28" t="n"/>
      <c r="K67" s="29" t="n"/>
      <c r="L67" s="28" t="n"/>
      <c r="M67" s="30">
        <f>IF(ISNUMBER(SEARCH("/dp/",L67)),MID(L67,SEARCH("/dp/",L67)+4,10),"")</f>
        <v/>
      </c>
      <c r="N67" s="28" t="n"/>
      <c r="O67" s="29" t="n"/>
      <c r="P67" s="31" t="n"/>
      <c r="Q67" s="29" t="n"/>
      <c r="R67" s="32" t="n"/>
      <c r="S67" s="28" t="n"/>
    </row>
    <row r="68">
      <c r="A68" s="42" t="inlineStr">
        <is>
          <t>4 Standard</t>
        </is>
      </c>
      <c r="B68" s="26" t="inlineStr">
        <is>
          <t>NEED</t>
        </is>
      </c>
      <c r="C68" s="27" t="inlineStr">
        <is>
          <t>Other</t>
        </is>
      </c>
      <c r="D68" s="28" t="inlineStr">
        <is>
          <t>Vented deli cups, 32 oz (16 oz for slings)</t>
        </is>
      </c>
      <c r="E68" s="29" t="n">
        <v>3</v>
      </c>
      <c r="F68" s="28" t="inlineStr">
        <is>
          <t>Mourning gecko, Praying mantis, Tarantula</t>
        </is>
      </c>
      <c r="G68" s="28" t="inlineStr">
        <is>
          <t>Hub, Setup prose</t>
        </is>
      </c>
      <c r="H68" s="28" t="inlineStr"/>
      <c r="I68" s="29" t="inlineStr">
        <is>
          <t>To find</t>
        </is>
      </c>
      <c r="J68" s="28" t="n"/>
      <c r="K68" s="29" t="n"/>
      <c r="L68" s="28" t="n"/>
      <c r="M68" s="30">
        <f>IF(ISNUMBER(SEARCH("/dp/",L68)),MID(L68,SEARCH("/dp/",L68)+4,10),"")</f>
        <v/>
      </c>
      <c r="N68" s="28" t="n"/>
      <c r="O68" s="29" t="n"/>
      <c r="P68" s="31" t="n"/>
      <c r="Q68" s="29" t="n"/>
      <c r="R68" s="32" t="n"/>
      <c r="S68" s="28" t="n"/>
    </row>
    <row r="69">
      <c r="A69" s="42" t="inlineStr">
        <is>
          <t>4 Standard</t>
        </is>
      </c>
      <c r="B69" s="26" t="inlineStr">
        <is>
          <t>NEED</t>
        </is>
      </c>
      <c r="C69" s="27" t="inlineStr">
        <is>
          <t>Other</t>
        </is>
      </c>
      <c r="D69" s="28" t="inlineStr">
        <is>
          <t>Wooden cage ledges and platforms, kiln-dried</t>
        </is>
      </c>
      <c r="E69" s="29" t="n">
        <v>3</v>
      </c>
      <c r="F69" s="28" t="inlineStr">
        <is>
          <t>Chinchilla, Degu, Mouse</t>
        </is>
      </c>
      <c r="G69" s="28" t="inlineStr">
        <is>
          <t>Hub, Cost</t>
        </is>
      </c>
      <c r="H69" s="28" t="inlineStr"/>
      <c r="I69" s="29" t="inlineStr">
        <is>
          <t>To find</t>
        </is>
      </c>
      <c r="J69" s="28" t="n"/>
      <c r="K69" s="29" t="n"/>
      <c r="L69" s="28" t="n"/>
      <c r="M69" s="30">
        <f>IF(ISNUMBER(SEARCH("/dp/",L69)),MID(L69,SEARCH("/dp/",L69)+4,10),"")</f>
        <v/>
      </c>
      <c r="N69" s="28" t="n"/>
      <c r="O69" s="29" t="n"/>
      <c r="P69" s="31" t="n"/>
      <c r="Q69" s="29" t="n"/>
      <c r="R69" s="32" t="n"/>
      <c r="S69" s="28" t="n"/>
    </row>
    <row r="70">
      <c r="A70" s="42" t="inlineStr">
        <is>
          <t>4 Standard</t>
        </is>
      </c>
      <c r="B70" s="26" t="inlineStr">
        <is>
          <t>NEED</t>
        </is>
      </c>
      <c r="C70" s="37" t="inlineStr">
        <is>
          <t>Substrate</t>
        </is>
      </c>
      <c r="D70" s="28" t="inlineStr">
        <is>
          <t>Coconut husk chips, coarse</t>
        </is>
      </c>
      <c r="E70" s="29" t="n">
        <v>3</v>
      </c>
      <c r="F70" s="28" t="inlineStr">
        <is>
          <t>White's tree frog, Pacman frog, Green iguana</t>
        </is>
      </c>
      <c r="G70" s="28" t="inlineStr">
        <is>
          <t>Hub</t>
        </is>
      </c>
      <c r="H70" s="28" t="inlineStr"/>
      <c r="I70" s="29" t="inlineStr">
        <is>
          <t>To find</t>
        </is>
      </c>
      <c r="J70" s="28" t="n"/>
      <c r="K70" s="29" t="n"/>
      <c r="L70" s="28" t="n"/>
      <c r="M70" s="30">
        <f>IF(ISNUMBER(SEARCH("/dp/",L70)),MID(L70,SEARCH("/dp/",L70)+4,10),"")</f>
        <v/>
      </c>
      <c r="N70" s="28" t="n"/>
      <c r="O70" s="29" t="n"/>
      <c r="P70" s="31" t="n"/>
      <c r="Q70" s="29" t="n"/>
      <c r="R70" s="32" t="n"/>
      <c r="S70" s="28" t="n"/>
    </row>
    <row r="71">
      <c r="A71" s="42" t="inlineStr">
        <is>
          <t>4 Standard</t>
        </is>
      </c>
      <c r="B71" s="26" t="inlineStr">
        <is>
          <t>NEED</t>
        </is>
      </c>
      <c r="C71" s="38" t="inlineStr">
        <is>
          <t>Enclosures and cages</t>
        </is>
      </c>
      <c r="D71" s="28" t="inlineStr">
        <is>
          <t>Glass aquarium lid for a 55-gallon (48x13 in)</t>
        </is>
      </c>
      <c r="E71" s="29" t="n">
        <v>2</v>
      </c>
      <c r="F71" s="28" t="inlineStr">
        <is>
          <t>Angelfish, Goldfish</t>
        </is>
      </c>
      <c r="G71" s="28" t="inlineStr">
        <is>
          <t>Hub</t>
        </is>
      </c>
      <c r="H71" s="28" t="inlineStr"/>
      <c r="I71" s="29" t="inlineStr">
        <is>
          <t>To find</t>
        </is>
      </c>
      <c r="J71" s="28" t="n"/>
      <c r="K71" s="29" t="n"/>
      <c r="L71" s="28" t="n"/>
      <c r="M71" s="30">
        <f>IF(ISNUMBER(SEARCH("/dp/",L71)),MID(L71,SEARCH("/dp/",L71)+4,10),"")</f>
        <v/>
      </c>
      <c r="N71" s="28" t="n"/>
      <c r="O71" s="29" t="n"/>
      <c r="P71" s="31" t="n"/>
      <c r="Q71" s="29" t="n"/>
      <c r="R71" s="32" t="n"/>
      <c r="S71" s="28" t="n"/>
    </row>
    <row r="72">
      <c r="A72" s="42" t="inlineStr">
        <is>
          <t>4 Standard</t>
        </is>
      </c>
      <c r="B72" s="26" t="inlineStr">
        <is>
          <t>NEED</t>
        </is>
      </c>
      <c r="C72" s="38" t="inlineStr">
        <is>
          <t>Enclosures and cages</t>
        </is>
      </c>
      <c r="D72" s="28" t="inlineStr">
        <is>
          <t>Screen lid for a 40-gallon breeder (36x18 in)</t>
        </is>
      </c>
      <c r="E72" s="29" t="n">
        <v>2</v>
      </c>
      <c r="F72" s="28" t="inlineStr">
        <is>
          <t>Gerbil, Garter snake</t>
        </is>
      </c>
      <c r="G72" s="28" t="inlineStr">
        <is>
          <t>Hub</t>
        </is>
      </c>
      <c r="H72" s="28" t="inlineStr"/>
      <c r="I72" s="29" t="inlineStr">
        <is>
          <t>To find</t>
        </is>
      </c>
      <c r="J72" s="28" t="n"/>
      <c r="K72" s="29" t="n"/>
      <c r="L72" s="28" t="n"/>
      <c r="M72" s="30">
        <f>IF(ISNUMBER(SEARCH("/dp/",L72)),MID(L72,SEARCH("/dp/",L72)+4,10),"")</f>
        <v/>
      </c>
      <c r="N72" s="28" t="n"/>
      <c r="O72" s="29" t="n"/>
      <c r="P72" s="31" t="n"/>
      <c r="Q72" s="29" t="n"/>
      <c r="R72" s="32" t="n"/>
      <c r="S72" s="28" t="n"/>
    </row>
    <row r="73">
      <c r="A73" s="42" t="inlineStr">
        <is>
          <t>4 Standard</t>
        </is>
      </c>
      <c r="B73" s="26" t="inlineStr">
        <is>
          <t>NEED</t>
        </is>
      </c>
      <c r="C73" s="43" t="inlineStr">
        <is>
          <t>Filtration</t>
        </is>
      </c>
      <c r="D73" s="28" t="inlineStr">
        <is>
          <t>Airline tubing, standard 3/16 in, 10 to 25 ft roll (also used for drip acclimation)</t>
        </is>
      </c>
      <c r="E73" s="29" t="n">
        <v>2</v>
      </c>
      <c r="F73" s="28" t="inlineStr">
        <is>
          <t>Zebra danio, Amano shrimp</t>
        </is>
      </c>
      <c r="G73" s="28" t="inlineStr">
        <is>
          <t>Hub, Cost</t>
        </is>
      </c>
      <c r="H73" s="28" t="inlineStr"/>
      <c r="I73" s="29" t="inlineStr">
        <is>
          <t>To find</t>
        </is>
      </c>
      <c r="J73" s="28" t="n"/>
      <c r="K73" s="29" t="n"/>
      <c r="L73" s="28" t="n"/>
      <c r="M73" s="30">
        <f>IF(ISNUMBER(SEARCH("/dp/",L73)),MID(L73,SEARCH("/dp/",L73)+4,10),"")</f>
        <v/>
      </c>
      <c r="N73" s="28" t="n"/>
      <c r="O73" s="29" t="n"/>
      <c r="P73" s="31" t="n"/>
      <c r="Q73" s="29" t="n"/>
      <c r="R73" s="32" t="n"/>
      <c r="S73" s="28" t="n"/>
    </row>
    <row r="74">
      <c r="A74" s="42" t="inlineStr">
        <is>
          <t>4 Standard</t>
        </is>
      </c>
      <c r="B74" s="26" t="inlineStr">
        <is>
          <t>NEED</t>
        </is>
      </c>
      <c r="C74" s="43" t="inlineStr">
        <is>
          <t>Filtration</t>
        </is>
      </c>
      <c r="D74" s="28" t="inlineStr">
        <is>
          <t>Aquarium air pump, quiet, runs one sponge filter in 5 to 20 gal, with check valve and airline</t>
        </is>
      </c>
      <c r="E74" s="29" t="n">
        <v>2</v>
      </c>
      <c r="F74" s="28" t="inlineStr">
        <is>
          <t>Betta, Zebra danio</t>
        </is>
      </c>
      <c r="G74" s="28" t="inlineStr">
        <is>
          <t>Hub, Cost</t>
        </is>
      </c>
      <c r="H74" s="28" t="inlineStr"/>
      <c r="I74" s="29" t="inlineStr">
        <is>
          <t>To find</t>
        </is>
      </c>
      <c r="J74" s="28" t="n"/>
      <c r="K74" s="29" t="n"/>
      <c r="L74" s="28" t="n"/>
      <c r="M74" s="30">
        <f>IF(ISNUMBER(SEARCH("/dp/",L74)),MID(L74,SEARCH("/dp/",L74)+4,10),"")</f>
        <v/>
      </c>
      <c r="N74" s="28" t="n"/>
      <c r="O74" s="29" t="n"/>
      <c r="P74" s="31" t="n"/>
      <c r="Q74" s="29" t="n"/>
      <c r="R74" s="32" t="n"/>
      <c r="S74" s="28" t="n"/>
    </row>
    <row r="75">
      <c r="A75" s="42" t="inlineStr">
        <is>
          <t>4 Standard</t>
        </is>
      </c>
      <c r="B75" s="26" t="inlineStr">
        <is>
          <t>NEED</t>
        </is>
      </c>
      <c r="C75" s="43" t="inlineStr">
        <is>
          <t>Filtration</t>
        </is>
      </c>
      <c r="D75" s="28" t="inlineStr">
        <is>
          <t>Python-style no-spill water change hose that connects to a faucet, 25 to 50 ft</t>
        </is>
      </c>
      <c r="E75" s="29" t="n">
        <v>2</v>
      </c>
      <c r="F75" s="28" t="inlineStr">
        <is>
          <t>Discus, Oscar</t>
        </is>
      </c>
      <c r="G75" s="28" t="inlineStr">
        <is>
          <t>Hub</t>
        </is>
      </c>
      <c r="H75" s="28" t="inlineStr">
        <is>
          <t>(quarantine hose)</t>
        </is>
      </c>
      <c r="I75" s="29" t="inlineStr">
        <is>
          <t>To find</t>
        </is>
      </c>
      <c r="J75" s="28" t="n"/>
      <c r="K75" s="29" t="n"/>
      <c r="L75" s="28" t="n"/>
      <c r="M75" s="30">
        <f>IF(ISNUMBER(SEARCH("/dp/",L75)),MID(L75,SEARCH("/dp/",L75)+4,10),"")</f>
        <v/>
      </c>
      <c r="N75" s="28" t="n"/>
      <c r="O75" s="29" t="n"/>
      <c r="P75" s="31" t="n"/>
      <c r="Q75" s="29" t="n"/>
      <c r="R75" s="32" t="n"/>
      <c r="S75" s="28" t="n"/>
    </row>
    <row r="76">
      <c r="A76" s="42" t="inlineStr">
        <is>
          <t>4 Standard</t>
        </is>
      </c>
      <c r="B76" s="26" t="inlineStr">
        <is>
          <t>NEED</t>
        </is>
      </c>
      <c r="C76" s="27" t="inlineStr">
        <is>
          <t>Other</t>
        </is>
      </c>
      <c r="D76" s="28" t="inlineStr">
        <is>
          <t>Aquarium-safe silicone or putty for sealing gaps</t>
        </is>
      </c>
      <c r="E76" s="29" t="n">
        <v>2</v>
      </c>
      <c r="F76" s="28" t="inlineStr">
        <is>
          <t>Mourning gecko, Garter snake</t>
        </is>
      </c>
      <c r="G76" s="28" t="inlineStr">
        <is>
          <t>Hub</t>
        </is>
      </c>
      <c r="H76" s="28" t="inlineStr"/>
      <c r="I76" s="29" t="inlineStr">
        <is>
          <t>To find</t>
        </is>
      </c>
      <c r="J76" s="28" t="n"/>
      <c r="K76" s="29" t="n"/>
      <c r="L76" s="28" t="n"/>
      <c r="M76" s="30">
        <f>IF(ISNUMBER(SEARCH("/dp/",L76)),MID(L76,SEARCH("/dp/",L76)+4,10),"")</f>
        <v/>
      </c>
      <c r="N76" s="28" t="n"/>
      <c r="O76" s="29" t="n"/>
      <c r="P76" s="31" t="n"/>
      <c r="Q76" s="29" t="n"/>
      <c r="R76" s="32" t="n"/>
      <c r="S76" s="28" t="n"/>
    </row>
    <row r="77">
      <c r="A77" s="42" t="inlineStr">
        <is>
          <t>4 Standard</t>
        </is>
      </c>
      <c r="B77" s="26" t="inlineStr">
        <is>
          <t>NEED</t>
        </is>
      </c>
      <c r="C77" s="27" t="inlineStr">
        <is>
          <t>Other</t>
        </is>
      </c>
      <c r="D77" s="28" t="inlineStr">
        <is>
          <t>Dedicated 5-gallon buckets for water changes</t>
        </is>
      </c>
      <c r="E77" s="29" t="n">
        <v>2</v>
      </c>
      <c r="F77" s="28" t="inlineStr">
        <is>
          <t>Goldfish, Oscar</t>
        </is>
      </c>
      <c r="G77" s="28" t="inlineStr">
        <is>
          <t>Hub</t>
        </is>
      </c>
      <c r="H77" s="28" t="inlineStr"/>
      <c r="I77" s="29" t="inlineStr">
        <is>
          <t>To find</t>
        </is>
      </c>
      <c r="J77" s="28" t="n"/>
      <c r="K77" s="29" t="n"/>
      <c r="L77" s="28" t="n"/>
      <c r="M77" s="30">
        <f>IF(ISNUMBER(SEARCH("/dp/",L77)),MID(L77,SEARCH("/dp/",L77)+4,10),"")</f>
        <v/>
      </c>
      <c r="N77" s="28" t="n"/>
      <c r="O77" s="29" t="n"/>
      <c r="P77" s="31" t="n"/>
      <c r="Q77" s="29" t="n"/>
      <c r="R77" s="32" t="n"/>
      <c r="S77" s="28" t="n"/>
    </row>
    <row r="78">
      <c r="A78" s="42" t="inlineStr">
        <is>
          <t>4 Standard</t>
        </is>
      </c>
      <c r="B78" s="26" t="inlineStr">
        <is>
          <t>NEED</t>
        </is>
      </c>
      <c r="C78" s="27" t="inlineStr">
        <is>
          <t>Other</t>
        </is>
      </c>
      <c r="D78" s="28" t="inlineStr">
        <is>
          <t>Hay rack or hay feeder</t>
        </is>
      </c>
      <c r="E78" s="29" t="n">
        <v>2</v>
      </c>
      <c r="F78" s="28" t="inlineStr">
        <is>
          <t>Guinea pig, Rabbit</t>
        </is>
      </c>
      <c r="G78" s="28" t="inlineStr">
        <is>
          <t>Hub, Cost</t>
        </is>
      </c>
      <c r="H78" s="28" t="inlineStr"/>
      <c r="I78" s="29" t="inlineStr">
        <is>
          <t>To find</t>
        </is>
      </c>
      <c r="J78" s="28" t="n"/>
      <c r="K78" s="29" t="n"/>
      <c r="L78" s="28" t="n"/>
      <c r="M78" s="30">
        <f>IF(ISNUMBER(SEARCH("/dp/",L78)),MID(L78,SEARCH("/dp/",L78)+4,10),"")</f>
        <v/>
      </c>
      <c r="N78" s="28" t="n"/>
      <c r="O78" s="29" t="n"/>
      <c r="P78" s="31" t="n"/>
      <c r="Q78" s="29" t="n"/>
      <c r="R78" s="32" t="n"/>
      <c r="S78" s="28" t="n"/>
    </row>
    <row r="79">
      <c r="A79" s="42" t="inlineStr">
        <is>
          <t>4 Standard</t>
        </is>
      </c>
      <c r="B79" s="26" t="inlineStr">
        <is>
          <t>NEED</t>
        </is>
      </c>
      <c r="C79" s="27" t="inlineStr">
        <is>
          <t>Other</t>
        </is>
      </c>
      <c r="D79" s="28" t="inlineStr">
        <is>
          <t>Opaque background film, black, cut to size</t>
        </is>
      </c>
      <c r="E79" s="29" t="n">
        <v>2</v>
      </c>
      <c r="F79" s="28" t="inlineStr">
        <is>
          <t>Discus, Box turtle</t>
        </is>
      </c>
      <c r="G79" s="28" t="inlineStr">
        <is>
          <t>Hub</t>
        </is>
      </c>
      <c r="H79" s="28" t="inlineStr">
        <is>
          <t>(rear glass) (4 to 5 in barrier strip on the front glass)</t>
        </is>
      </c>
      <c r="I79" s="29" t="inlineStr">
        <is>
          <t>To find</t>
        </is>
      </c>
      <c r="J79" s="28" t="n"/>
      <c r="K79" s="29" t="n"/>
      <c r="L79" s="28" t="n"/>
      <c r="M79" s="30">
        <f>IF(ISNUMBER(SEARCH("/dp/",L79)),MID(L79,SEARCH("/dp/",L79)+4,10),"")</f>
        <v/>
      </c>
      <c r="N79" s="28" t="n"/>
      <c r="O79" s="29" t="n"/>
      <c r="P79" s="31" t="n"/>
      <c r="Q79" s="29" t="n"/>
      <c r="R79" s="32" t="n"/>
      <c r="S79" s="28" t="n"/>
    </row>
    <row r="80">
      <c r="A80" s="42" t="inlineStr">
        <is>
          <t>4 Standard</t>
        </is>
      </c>
      <c r="B80" s="26" t="inlineStr">
        <is>
          <t>NEED</t>
        </is>
      </c>
      <c r="C80" s="27" t="inlineStr">
        <is>
          <t>Other</t>
        </is>
      </c>
      <c r="D80" s="28" t="inlineStr">
        <is>
          <t>Small terracotta pots, for broken-pot hides</t>
        </is>
      </c>
      <c r="E80" s="29" t="n">
        <v>2</v>
      </c>
      <c r="F80" s="28" t="inlineStr">
        <is>
          <t>Emperor scorpion, Tarantula</t>
        </is>
      </c>
      <c r="G80" s="28" t="inlineStr">
        <is>
          <t>Hub</t>
        </is>
      </c>
      <c r="H80" s="28" t="inlineStr"/>
      <c r="I80" s="29" t="inlineStr">
        <is>
          <t>To find</t>
        </is>
      </c>
      <c r="J80" s="28" t="n"/>
      <c r="K80" s="29" t="n"/>
      <c r="L80" s="28" t="n"/>
      <c r="M80" s="30">
        <f>IF(ISNUMBER(SEARCH("/dp/",L80)),MID(L80,SEARCH("/dp/",L80)+4,10),"")</f>
        <v/>
      </c>
      <c r="N80" s="28" t="n"/>
      <c r="O80" s="29" t="n"/>
      <c r="P80" s="31" t="n"/>
      <c r="Q80" s="29" t="n"/>
      <c r="R80" s="32" t="n"/>
      <c r="S80" s="28" t="n"/>
    </row>
    <row r="81">
      <c r="A81" s="42" t="inlineStr">
        <is>
          <t>4 Standard</t>
        </is>
      </c>
      <c r="B81" s="26" t="inlineStr">
        <is>
          <t>NEED</t>
        </is>
      </c>
      <c r="C81" s="27" t="inlineStr">
        <is>
          <t>Other</t>
        </is>
      </c>
      <c r="D81" s="28" t="inlineStr">
        <is>
          <t>Solid-surface exercise wheel, 6 to 8 in, for mice and dwarf hamsters</t>
        </is>
      </c>
      <c r="E81" s="29" t="n">
        <v>2</v>
      </c>
      <c r="F81" s="28" t="inlineStr">
        <is>
          <t>Mouse, Hamster</t>
        </is>
      </c>
      <c r="G81" s="28" t="inlineStr">
        <is>
          <t>Hub, Cost</t>
        </is>
      </c>
      <c r="H81" s="28" t="inlineStr">
        <is>
          <t>(dwarf)</t>
        </is>
      </c>
      <c r="I81" s="29" t="inlineStr">
        <is>
          <t>To find</t>
        </is>
      </c>
      <c r="J81" s="28" t="n"/>
      <c r="K81" s="29" t="n"/>
      <c r="L81" s="28" t="n"/>
      <c r="M81" s="30">
        <f>IF(ISNUMBER(SEARCH("/dp/",L81)),MID(L81,SEARCH("/dp/",L81)+4,10),"")</f>
        <v/>
      </c>
      <c r="N81" s="28" t="n"/>
      <c r="O81" s="29" t="n"/>
      <c r="P81" s="31" t="n"/>
      <c r="Q81" s="29" t="n"/>
      <c r="R81" s="32" t="n"/>
      <c r="S81" s="28" t="n"/>
    </row>
    <row r="82">
      <c r="A82" s="42" t="inlineStr">
        <is>
          <t>4 Standard</t>
        </is>
      </c>
      <c r="B82" s="26" t="inlineStr">
        <is>
          <t>NEED</t>
        </is>
      </c>
      <c r="C82" s="27" t="inlineStr">
        <is>
          <t>Other</t>
        </is>
      </c>
      <c r="D82" s="28" t="inlineStr">
        <is>
          <t>Wooden small-animal nest box, hung high</t>
        </is>
      </c>
      <c r="E82" s="29" t="n">
        <v>2</v>
      </c>
      <c r="F82" s="28" t="inlineStr">
        <is>
          <t>Flying squirrel, Degu</t>
        </is>
      </c>
      <c r="G82" s="28" t="inlineStr">
        <is>
          <t>Hub, Setup prose</t>
        </is>
      </c>
      <c r="H82" s="28" t="inlineStr"/>
      <c r="I82" s="29" t="inlineStr">
        <is>
          <t>To find</t>
        </is>
      </c>
      <c r="J82" s="28" t="n"/>
      <c r="K82" s="29" t="n"/>
      <c r="L82" s="28" t="n"/>
      <c r="M82" s="30">
        <f>IF(ISNUMBER(SEARCH("/dp/",L82)),MID(L82,SEARCH("/dp/",L82)+4,10),"")</f>
        <v/>
      </c>
      <c r="N82" s="28" t="n"/>
      <c r="O82" s="29" t="n"/>
      <c r="P82" s="31" t="n"/>
      <c r="Q82" s="29" t="n"/>
      <c r="R82" s="32" t="n"/>
      <c r="S82" s="28" t="n"/>
    </row>
    <row r="83">
      <c r="A83" s="42" t="inlineStr">
        <is>
          <t>4 Standard</t>
        </is>
      </c>
      <c r="B83" s="26" t="inlineStr">
        <is>
          <t>NEED</t>
        </is>
      </c>
      <c r="C83" s="37" t="inlineStr">
        <is>
          <t>Substrate</t>
        </is>
      </c>
      <c r="D83" s="28" t="inlineStr">
        <is>
          <t>Excavator clay or burrowing clay, for tunnels that hold</t>
        </is>
      </c>
      <c r="E83" s="29" t="n">
        <v>2</v>
      </c>
      <c r="F83" s="28" t="inlineStr">
        <is>
          <t>Uromastyx, Savannah monitor</t>
        </is>
      </c>
      <c r="G83" s="28" t="inlineStr">
        <is>
          <t>Hub</t>
        </is>
      </c>
      <c r="H83" s="28" t="inlineStr"/>
      <c r="I83" s="29" t="inlineStr">
        <is>
          <t>To find</t>
        </is>
      </c>
      <c r="J83" s="28" t="n"/>
      <c r="K83" s="29" t="n"/>
      <c r="L83" s="28" t="n"/>
      <c r="M83" s="30">
        <f>IF(ISNUMBER(SEARCH("/dp/",L83)),MID(L83,SEARCH("/dp/",L83)+4,10),"")</f>
        <v/>
      </c>
      <c r="N83" s="28" t="n"/>
      <c r="O83" s="29" t="n"/>
      <c r="P83" s="31" t="n"/>
      <c r="Q83" s="29" t="n"/>
      <c r="R83" s="32" t="n"/>
      <c r="S83" s="28" t="n"/>
    </row>
    <row r="84">
      <c r="A84" s="42" t="inlineStr">
        <is>
          <t>4 Standard</t>
        </is>
      </c>
      <c r="B84" s="26" t="inlineStr">
        <is>
          <t>NEED</t>
        </is>
      </c>
      <c r="C84" s="37" t="inlineStr">
        <is>
          <t>Substrate</t>
        </is>
      </c>
      <c r="D84" s="28" t="inlineStr">
        <is>
          <t>Orchid bark, coarse</t>
        </is>
      </c>
      <c r="E84" s="29" t="n">
        <v>2</v>
      </c>
      <c r="F84" s="28" t="inlineStr">
        <is>
          <t>White's tree frog, Hissing cockroach</t>
        </is>
      </c>
      <c r="G84" s="28" t="inlineStr">
        <is>
          <t>Hub</t>
        </is>
      </c>
      <c r="H84" s="28" t="inlineStr"/>
      <c r="I84" s="29" t="inlineStr">
        <is>
          <t>To find</t>
        </is>
      </c>
      <c r="J84" s="28" t="n"/>
      <c r="K84" s="29" t="n"/>
      <c r="L84" s="28" t="n"/>
      <c r="M84" s="30">
        <f>IF(ISNUMBER(SEARCH("/dp/",L84)),MID(L84,SEARCH("/dp/",L84)+4,10),"")</f>
        <v/>
      </c>
      <c r="N84" s="28" t="n"/>
      <c r="O84" s="29" t="n"/>
      <c r="P84" s="31" t="n"/>
      <c r="Q84" s="29" t="n"/>
      <c r="R84" s="32" t="n"/>
      <c r="S84" s="28" t="n"/>
    </row>
    <row r="85">
      <c r="A85" s="42" t="inlineStr">
        <is>
          <t>4 Standard</t>
        </is>
      </c>
      <c r="B85" s="26" t="inlineStr">
        <is>
          <t>NEED</t>
        </is>
      </c>
      <c r="C85" s="37" t="inlineStr">
        <is>
          <t>Substrate</t>
        </is>
      </c>
      <c r="D85" s="28" t="inlineStr">
        <is>
          <t>Rotting hardwood (white rot oak or beech), for invert diet and cover</t>
        </is>
      </c>
      <c r="E85" s="29" t="n">
        <v>2</v>
      </c>
      <c r="F85" s="28" t="inlineStr">
        <is>
          <t>Giant millipede, Hissing cockroach</t>
        </is>
      </c>
      <c r="G85" s="28" t="inlineStr">
        <is>
          <t>Hub</t>
        </is>
      </c>
      <c r="H85" s="28" t="inlineStr"/>
      <c r="I85" s="29" t="inlineStr">
        <is>
          <t>To find</t>
        </is>
      </c>
      <c r="J85" s="28" t="n"/>
      <c r="K85" s="29" t="n"/>
      <c r="L85" s="28" t="n"/>
      <c r="M85" s="30">
        <f>IF(ISNUMBER(SEARCH("/dp/",L85)),MID(L85,SEARCH("/dp/",L85)+4,10),"")</f>
        <v/>
      </c>
      <c r="N85" s="28" t="n"/>
      <c r="O85" s="29" t="n"/>
      <c r="P85" s="31" t="n"/>
      <c r="Q85" s="29" t="n"/>
      <c r="R85" s="32" t="n"/>
      <c r="S85" s="28" t="n"/>
    </row>
    <row r="86">
      <c r="A86" s="42" t="inlineStr">
        <is>
          <t>4 Standard</t>
        </is>
      </c>
      <c r="B86" s="26" t="inlineStr">
        <is>
          <t>NEED</t>
        </is>
      </c>
      <c r="C86" s="44" t="inlineStr">
        <is>
          <t>Water testing</t>
        </is>
      </c>
      <c r="D86" s="28" t="inlineStr">
        <is>
          <t>GH and KH liquid test kit (the catalog kit does not test hardness)</t>
        </is>
      </c>
      <c r="E86" s="29" t="n">
        <v>2</v>
      </c>
      <c r="F86" s="28" t="inlineStr">
        <is>
          <t>Amano shrimp, Cherry shrimp</t>
        </is>
      </c>
      <c r="G86" s="28" t="inlineStr">
        <is>
          <t>Hub</t>
        </is>
      </c>
      <c r="H86" s="28" t="inlineStr"/>
      <c r="I86" s="29" t="inlineStr">
        <is>
          <t>To find</t>
        </is>
      </c>
      <c r="J86" s="28" t="n"/>
      <c r="K86" s="29" t="n"/>
      <c r="L86" s="28" t="n"/>
      <c r="M86" s="30">
        <f>IF(ISNUMBER(SEARCH("/dp/",L86)),MID(L86,SEARCH("/dp/",L86)+4,10),"")</f>
        <v/>
      </c>
      <c r="N86" s="28" t="n"/>
      <c r="O86" s="29" t="n"/>
      <c r="P86" s="31" t="n"/>
      <c r="Q86" s="29" t="n"/>
      <c r="R86" s="32" t="n"/>
      <c r="S86" s="28" t="n"/>
    </row>
    <row r="87">
      <c r="A87" s="42" t="inlineStr">
        <is>
          <t>4 Standard</t>
        </is>
      </c>
      <c r="B87" s="26" t="inlineStr">
        <is>
          <t>NEED</t>
        </is>
      </c>
      <c r="C87" s="38" t="inlineStr">
        <is>
          <t>Enclosures and cages</t>
        </is>
      </c>
      <c r="D87" s="28" t="inlineStr">
        <is>
          <t>12x12x18 in front-opening glass terrarium, mourning gecko starter</t>
        </is>
      </c>
      <c r="E87" s="29" t="n">
        <v>1</v>
      </c>
      <c r="F87" s="28" t="inlineStr">
        <is>
          <t>Mourning gecko</t>
        </is>
      </c>
      <c r="G87" s="28" t="inlineStr">
        <is>
          <t>Hub, Cost</t>
        </is>
      </c>
      <c r="H87" s="28" t="inlineStr"/>
      <c r="I87" s="29" t="inlineStr">
        <is>
          <t>To find</t>
        </is>
      </c>
      <c r="J87" s="28" t="n"/>
      <c r="K87" s="29" t="n"/>
      <c r="L87" s="28" t="n"/>
      <c r="M87" s="30">
        <f>IF(ISNUMBER(SEARCH("/dp/",L87)),MID(L87,SEARCH("/dp/",L87)+4,10),"")</f>
        <v/>
      </c>
      <c r="N87" s="28" t="n"/>
      <c r="O87" s="29" t="n"/>
      <c r="P87" s="31" t="n"/>
      <c r="Q87" s="29" t="n"/>
      <c r="R87" s="32" t="n"/>
      <c r="S87" s="28" t="n"/>
    </row>
    <row r="88">
      <c r="A88" s="42" t="inlineStr">
        <is>
          <t>4 Standard</t>
        </is>
      </c>
      <c r="B88" s="26" t="inlineStr">
        <is>
          <t>NEED</t>
        </is>
      </c>
      <c r="C88" s="38" t="inlineStr">
        <is>
          <t>Enclosures and cages</t>
        </is>
      </c>
      <c r="D88" s="28" t="inlineStr">
        <is>
          <t>Acrylic terrestrial tarantula enclosure, about 20x10x10 in, drilled ventilation, no mesh top</t>
        </is>
      </c>
      <c r="E88" s="29" t="n">
        <v>1</v>
      </c>
      <c r="F88" s="28" t="inlineStr">
        <is>
          <t>Tarantula</t>
        </is>
      </c>
      <c r="G88" s="28" t="inlineStr">
        <is>
          <t>Hub</t>
        </is>
      </c>
      <c r="H88" s="28" t="inlineStr"/>
      <c r="I88" s="29" t="inlineStr">
        <is>
          <t>To find</t>
        </is>
      </c>
      <c r="J88" s="28" t="n"/>
      <c r="K88" s="29" t="n"/>
      <c r="L88" s="28" t="n"/>
      <c r="M88" s="30">
        <f>IF(ISNUMBER(SEARCH("/dp/",L88)),MID(L88,SEARCH("/dp/",L88)+4,10),"")</f>
        <v/>
      </c>
      <c r="N88" s="28" t="n"/>
      <c r="O88" s="29" t="n"/>
      <c r="P88" s="31" t="n"/>
      <c r="Q88" s="29" t="n"/>
      <c r="R88" s="32" t="n"/>
      <c r="S88" s="28" t="n"/>
    </row>
    <row r="89">
      <c r="A89" s="42" t="inlineStr">
        <is>
          <t>4 Standard</t>
        </is>
      </c>
      <c r="B89" s="26" t="inlineStr">
        <is>
          <t>NEED</t>
        </is>
      </c>
      <c r="C89" s="38" t="inlineStr">
        <is>
          <t>Enclosures and cages</t>
        </is>
      </c>
      <c r="D89" s="28" t="inlineStr">
        <is>
          <t>Aquarium stand rated for a filled 55-gallon tank</t>
        </is>
      </c>
      <c r="E89" s="29" t="n">
        <v>1</v>
      </c>
      <c r="F89" s="28" t="inlineStr">
        <is>
          <t>Angelfish</t>
        </is>
      </c>
      <c r="G89" s="28" t="inlineStr">
        <is>
          <t>Hub</t>
        </is>
      </c>
      <c r="H89" s="28" t="inlineStr"/>
      <c r="I89" s="29" t="inlineStr">
        <is>
          <t>To find</t>
        </is>
      </c>
      <c r="J89" s="28" t="n"/>
      <c r="K89" s="29" t="n"/>
      <c r="L89" s="28" t="n"/>
      <c r="M89" s="30">
        <f>IF(ISNUMBER(SEARCH("/dp/",L89)),MID(L89,SEARCH("/dp/",L89)+4,10),"")</f>
        <v/>
      </c>
      <c r="N89" s="28" t="n"/>
      <c r="O89" s="29" t="n"/>
      <c r="P89" s="31" t="n"/>
      <c r="Q89" s="29" t="n"/>
      <c r="R89" s="32" t="n"/>
      <c r="S89" s="28" t="n"/>
    </row>
    <row r="90">
      <c r="A90" s="42" t="inlineStr">
        <is>
          <t>4 Standard</t>
        </is>
      </c>
      <c r="B90" s="26" t="inlineStr">
        <is>
          <t>NEED</t>
        </is>
      </c>
      <c r="C90" s="38" t="inlineStr">
        <is>
          <t>Enclosures and cages</t>
        </is>
      </c>
      <c r="D90" s="28" t="inlineStr">
        <is>
          <t>Glass aquarium lid for a 75-gallon (48x18 in)</t>
        </is>
      </c>
      <c r="E90" s="29" t="n">
        <v>1</v>
      </c>
      <c r="F90" s="28" t="inlineStr">
        <is>
          <t>Oscar</t>
        </is>
      </c>
      <c r="G90" s="28" t="inlineStr">
        <is>
          <t>Hub</t>
        </is>
      </c>
      <c r="H90" s="28" t="inlineStr"/>
      <c r="I90" s="29" t="inlineStr">
        <is>
          <t>To find</t>
        </is>
      </c>
      <c r="J90" s="28" t="n"/>
      <c r="K90" s="29" t="n"/>
      <c r="L90" s="28" t="n"/>
      <c r="M90" s="30">
        <f>IF(ISNUMBER(SEARCH("/dp/",L90)),MID(L90,SEARCH("/dp/",L90)+4,10),"")</f>
        <v/>
      </c>
      <c r="N90" s="28" t="n"/>
      <c r="O90" s="29" t="n"/>
      <c r="P90" s="31" t="n"/>
      <c r="Q90" s="29" t="n"/>
      <c r="R90" s="32" t="n"/>
      <c r="S90" s="28" t="n"/>
    </row>
    <row r="91">
      <c r="A91" s="42" t="inlineStr">
        <is>
          <t>4 Standard</t>
        </is>
      </c>
      <c r="B91" s="26" t="inlineStr">
        <is>
          <t>NEED</t>
        </is>
      </c>
      <c r="C91" s="38" t="inlineStr">
        <is>
          <t>Enclosures and cages</t>
        </is>
      </c>
      <c r="D91" s="28" t="inlineStr">
        <is>
          <t>Screen lid for a 10-gallon tank (20x10 in)</t>
        </is>
      </c>
      <c r="E91" s="29" t="n">
        <v>1</v>
      </c>
      <c r="F91" s="28" t="inlineStr">
        <is>
          <t>Fire-bellied toad</t>
        </is>
      </c>
      <c r="G91" s="28" t="inlineStr">
        <is>
          <t>Hub</t>
        </is>
      </c>
      <c r="H91" s="28" t="inlineStr"/>
      <c r="I91" s="29" t="inlineStr">
        <is>
          <t>To find</t>
        </is>
      </c>
      <c r="J91" s="28" t="n"/>
      <c r="K91" s="29" t="n"/>
      <c r="L91" s="28" t="n"/>
      <c r="M91" s="30">
        <f>IF(ISNUMBER(SEARCH("/dp/",L91)),MID(L91,SEARCH("/dp/",L91)+4,10),"")</f>
        <v/>
      </c>
      <c r="N91" s="28" t="n"/>
      <c r="O91" s="29" t="n"/>
      <c r="P91" s="31" t="n"/>
      <c r="Q91" s="29" t="n"/>
      <c r="R91" s="32" t="n"/>
      <c r="S91" s="28" t="n"/>
    </row>
    <row r="92">
      <c r="A92" s="42" t="inlineStr">
        <is>
          <t>4 Standard</t>
        </is>
      </c>
      <c r="B92" s="26" t="inlineStr">
        <is>
          <t>NEED</t>
        </is>
      </c>
      <c r="C92" s="38" t="inlineStr">
        <is>
          <t>Enclosures and cages</t>
        </is>
      </c>
      <c r="D92" s="28" t="inlineStr">
        <is>
          <t>Small sleep cage for a large parrot</t>
        </is>
      </c>
      <c r="E92" s="29" t="n">
        <v>1</v>
      </c>
      <c r="F92" s="28" t="inlineStr">
        <is>
          <t>African grey</t>
        </is>
      </c>
      <c r="G92" s="28" t="inlineStr">
        <is>
          <t>Hub</t>
        </is>
      </c>
      <c r="H92" s="28" t="inlineStr"/>
      <c r="I92" s="29" t="inlineStr">
        <is>
          <t>To find</t>
        </is>
      </c>
      <c r="J92" s="28" t="n"/>
      <c r="K92" s="29" t="n"/>
      <c r="L92" s="28" t="n"/>
      <c r="M92" s="30">
        <f>IF(ISNUMBER(SEARCH("/dp/",L92)),MID(L92,SEARCH("/dp/",L92)+4,10),"")</f>
        <v/>
      </c>
      <c r="N92" s="28" t="n"/>
      <c r="O92" s="29" t="n"/>
      <c r="P92" s="31" t="n"/>
      <c r="Q92" s="29" t="n"/>
      <c r="R92" s="32" t="n"/>
      <c r="S92" s="28" t="n"/>
    </row>
    <row r="93">
      <c r="A93" s="42" t="inlineStr">
        <is>
          <t>4 Standard</t>
        </is>
      </c>
      <c r="B93" s="26" t="inlineStr">
        <is>
          <t>NEED</t>
        </is>
      </c>
      <c r="C93" s="38" t="inlineStr">
        <is>
          <t>Enclosures and cages</t>
        </is>
      </c>
      <c r="D93" s="28" t="inlineStr">
        <is>
          <t>Terrarium lid clips or locks for glass tanks</t>
        </is>
      </c>
      <c r="E93" s="29" t="n">
        <v>1</v>
      </c>
      <c r="F93" s="28" t="inlineStr">
        <is>
          <t>Garter snake</t>
        </is>
      </c>
      <c r="G93" s="28" t="inlineStr">
        <is>
          <t>Hub</t>
        </is>
      </c>
      <c r="H93" s="28" t="inlineStr"/>
      <c r="I93" s="29" t="inlineStr">
        <is>
          <t>To find</t>
        </is>
      </c>
      <c r="J93" s="28" t="n"/>
      <c r="K93" s="29" t="n"/>
      <c r="L93" s="28" t="n"/>
      <c r="M93" s="30">
        <f>IF(ISNUMBER(SEARCH("/dp/",L93)),MID(L93,SEARCH("/dp/",L93)+4,10),"")</f>
        <v/>
      </c>
      <c r="N93" s="28" t="n"/>
      <c r="O93" s="29" t="n"/>
      <c r="P93" s="31" t="n"/>
      <c r="Q93" s="29" t="n"/>
      <c r="R93" s="32" t="n"/>
      <c r="S93" s="28" t="n"/>
    </row>
    <row r="94">
      <c r="A94" s="42" t="inlineStr">
        <is>
          <t>4 Standard</t>
        </is>
      </c>
      <c r="B94" s="26" t="inlineStr">
        <is>
          <t>NEED</t>
        </is>
      </c>
      <c r="C94" s="43" t="inlineStr">
        <is>
          <t>Filtration</t>
        </is>
      </c>
      <c r="D94" s="28" t="inlineStr">
        <is>
          <t>Pond pump rated about 1.5 times the needed delivered flow (1,500 to 3,000 GPH for a 1,000 gal koi pond)</t>
        </is>
      </c>
      <c r="E94" s="29" t="n">
        <v>1</v>
      </c>
      <c r="F94" s="28" t="inlineStr">
        <is>
          <t>Koi</t>
        </is>
      </c>
      <c r="G94" s="28" t="inlineStr">
        <is>
          <t>Hub</t>
        </is>
      </c>
      <c r="H94" s="28" t="inlineStr">
        <is>
          <t>Check whether the TotalPond filter kit already in the catalog bundles one before sourcing.</t>
        </is>
      </c>
      <c r="I94" s="29" t="inlineStr">
        <is>
          <t>To find</t>
        </is>
      </c>
      <c r="J94" s="28" t="n"/>
      <c r="K94" s="29" t="n"/>
      <c r="L94" s="28" t="n"/>
      <c r="M94" s="30">
        <f>IF(ISNUMBER(SEARCH("/dp/",L94)),MID(L94,SEARCH("/dp/",L94)+4,10),"")</f>
        <v/>
      </c>
      <c r="N94" s="28" t="n"/>
      <c r="O94" s="29" t="n"/>
      <c r="P94" s="31" t="n"/>
      <c r="Q94" s="29" t="n"/>
      <c r="R94" s="32" t="n"/>
      <c r="S94" s="28" t="n"/>
    </row>
    <row r="95">
      <c r="A95" s="42" t="inlineStr">
        <is>
          <t>4 Standard</t>
        </is>
      </c>
      <c r="B95" s="26" t="inlineStr">
        <is>
          <t>NEED</t>
        </is>
      </c>
      <c r="C95" s="43" t="inlineStr">
        <is>
          <t>Filtration</t>
        </is>
      </c>
      <c r="D95" s="28" t="inlineStr">
        <is>
          <t>Small internal aquarium filter for a shallow water section, under 10 gal</t>
        </is>
      </c>
      <c r="E95" s="29" t="n">
        <v>1</v>
      </c>
      <c r="F95" s="28" t="inlineStr">
        <is>
          <t>Fire-bellied toad</t>
        </is>
      </c>
      <c r="G95" s="28" t="inlineStr">
        <is>
          <t>Hub</t>
        </is>
      </c>
      <c r="H95" s="28" t="inlineStr"/>
      <c r="I95" s="29" t="inlineStr">
        <is>
          <t>To find</t>
        </is>
      </c>
      <c r="J95" s="28" t="n"/>
      <c r="K95" s="29" t="n"/>
      <c r="L95" s="28" t="n"/>
      <c r="M95" s="30">
        <f>IF(ISNUMBER(SEARCH("/dp/",L95)),MID(L95,SEARCH("/dp/",L95)+4,10),"")</f>
        <v/>
      </c>
      <c r="N95" s="28" t="n"/>
      <c r="O95" s="29" t="n"/>
      <c r="P95" s="31" t="n"/>
      <c r="Q95" s="29" t="n"/>
      <c r="R95" s="32" t="n"/>
      <c r="S95" s="28" t="n"/>
    </row>
    <row r="96">
      <c r="A96" s="42" t="inlineStr">
        <is>
          <t>4 Standard</t>
        </is>
      </c>
      <c r="B96" s="26" t="inlineStr">
        <is>
          <t>NEED</t>
        </is>
      </c>
      <c r="C96" s="27" t="inlineStr">
        <is>
          <t>Other</t>
        </is>
      </c>
      <c r="D96" s="28" t="inlineStr">
        <is>
          <t>Bird water bottle, cage mount</t>
        </is>
      </c>
      <c r="E96" s="29" t="n">
        <v>1</v>
      </c>
      <c r="F96" s="28" t="inlineStr">
        <is>
          <t>Conure</t>
        </is>
      </c>
      <c r="G96" s="28" t="inlineStr">
        <is>
          <t>Hub, Cost</t>
        </is>
      </c>
      <c r="H96" s="28" t="inlineStr"/>
      <c r="I96" s="29" t="inlineStr">
        <is>
          <t>To find</t>
        </is>
      </c>
      <c r="J96" s="28" t="n"/>
      <c r="K96" s="29" t="n"/>
      <c r="L96" s="28" t="n"/>
      <c r="M96" s="30">
        <f>IF(ISNUMBER(SEARCH("/dp/",L96)),MID(L96,SEARCH("/dp/",L96)+4,10),"")</f>
        <v/>
      </c>
      <c r="N96" s="28" t="n"/>
      <c r="O96" s="29" t="n"/>
      <c r="P96" s="31" t="n"/>
      <c r="Q96" s="29" t="n"/>
      <c r="R96" s="32" t="n"/>
      <c r="S96" s="28" t="n"/>
    </row>
    <row r="97">
      <c r="A97" s="42" t="inlineStr">
        <is>
          <t>4 Standard</t>
        </is>
      </c>
      <c r="B97" s="26" t="inlineStr">
        <is>
          <t>NEED</t>
        </is>
      </c>
      <c r="C97" s="27" t="inlineStr">
        <is>
          <t>Other</t>
        </is>
      </c>
      <c r="D97" s="28" t="inlineStr">
        <is>
          <t>Ceramic small-animal hide</t>
        </is>
      </c>
      <c r="E97" s="29" t="n">
        <v>1</v>
      </c>
      <c r="F97" s="28" t="inlineStr">
        <is>
          <t>Degu</t>
        </is>
      </c>
      <c r="G97" s="28" t="inlineStr">
        <is>
          <t>Hub</t>
        </is>
      </c>
      <c r="H97" s="28" t="inlineStr"/>
      <c r="I97" s="29" t="inlineStr">
        <is>
          <t>To find</t>
        </is>
      </c>
      <c r="J97" s="28" t="n"/>
      <c r="K97" s="29" t="n"/>
      <c r="L97" s="28" t="n"/>
      <c r="M97" s="30">
        <f>IF(ISNUMBER(SEARCH("/dp/",L97)),MID(L97,SEARCH("/dp/",L97)+4,10),"")</f>
        <v/>
      </c>
      <c r="N97" s="28" t="n"/>
      <c r="O97" s="29" t="n"/>
      <c r="P97" s="31" t="n"/>
      <c r="Q97" s="29" t="n"/>
      <c r="R97" s="32" t="n"/>
      <c r="S97" s="28" t="n"/>
    </row>
    <row r="98">
      <c r="A98" s="42" t="inlineStr">
        <is>
          <t>4 Standard</t>
        </is>
      </c>
      <c r="B98" s="26" t="inlineStr">
        <is>
          <t>NEED</t>
        </is>
      </c>
      <c r="C98" s="27" t="inlineStr">
        <is>
          <t>Other</t>
        </is>
      </c>
      <c r="D98" s="28" t="inlineStr">
        <is>
          <t>Chameleon enclosure drainage tray</t>
        </is>
      </c>
      <c r="E98" s="29" t="n">
        <v>1</v>
      </c>
      <c r="F98" s="28" t="inlineStr">
        <is>
          <t>Veiled chameleon</t>
        </is>
      </c>
      <c r="G98" s="28" t="inlineStr">
        <is>
          <t>Hub</t>
        </is>
      </c>
      <c r="H98" s="28" t="inlineStr"/>
      <c r="I98" s="29" t="inlineStr">
        <is>
          <t>To find</t>
        </is>
      </c>
      <c r="J98" s="28" t="n"/>
      <c r="K98" s="29" t="n"/>
      <c r="L98" s="28" t="n"/>
      <c r="M98" s="30">
        <f>IF(ISNUMBER(SEARCH("/dp/",L98)),MID(L98,SEARCH("/dp/",L98)+4,10),"")</f>
        <v/>
      </c>
      <c r="N98" s="28" t="n"/>
      <c r="O98" s="29" t="n"/>
      <c r="P98" s="31" t="n"/>
      <c r="Q98" s="29" t="n"/>
      <c r="R98" s="32" t="n"/>
      <c r="S98" s="28" t="n"/>
    </row>
    <row r="99">
      <c r="A99" s="42" t="inlineStr">
        <is>
          <t>4 Standard</t>
        </is>
      </c>
      <c r="B99" s="26" t="inlineStr">
        <is>
          <t>NEED</t>
        </is>
      </c>
      <c r="C99" s="27" t="inlineStr">
        <is>
          <t>Other</t>
        </is>
      </c>
      <c r="D99" s="28" t="inlineStr">
        <is>
          <t>Concrete or grooming perch</t>
        </is>
      </c>
      <c r="E99" s="29" t="n">
        <v>1</v>
      </c>
      <c r="F99" s="28" t="inlineStr">
        <is>
          <t>Conure</t>
        </is>
      </c>
      <c r="G99" s="28" t="inlineStr">
        <is>
          <t>Hub</t>
        </is>
      </c>
      <c r="H99" s="28" t="inlineStr"/>
      <c r="I99" s="29" t="inlineStr">
        <is>
          <t>To find</t>
        </is>
      </c>
      <c r="J99" s="28" t="n"/>
      <c r="K99" s="29" t="n"/>
      <c r="L99" s="28" t="n"/>
      <c r="M99" s="30">
        <f>IF(ISNUMBER(SEARCH("/dp/",L99)),MID(L99,SEARCH("/dp/",L99)+4,10),"")</f>
        <v/>
      </c>
      <c r="N99" s="28" t="n"/>
      <c r="O99" s="29" t="n"/>
      <c r="P99" s="31" t="n"/>
      <c r="Q99" s="29" t="n"/>
      <c r="R99" s="32" t="n"/>
      <c r="S99" s="28" t="n"/>
    </row>
    <row r="100">
      <c r="A100" s="42" t="inlineStr">
        <is>
          <t>4 Standard</t>
        </is>
      </c>
      <c r="B100" s="26" t="inlineStr">
        <is>
          <t>NEED</t>
        </is>
      </c>
      <c r="C100" s="27" t="inlineStr">
        <is>
          <t>Other</t>
        </is>
      </c>
      <c r="D100" s="28" t="inlineStr">
        <is>
          <t>Cord protectors and baseboard guards for bunny-proofing</t>
        </is>
      </c>
      <c r="E100" s="29" t="n">
        <v>1</v>
      </c>
      <c r="F100" s="28" t="inlineStr">
        <is>
          <t>Rabbit</t>
        </is>
      </c>
      <c r="G100" s="28" t="inlineStr">
        <is>
          <t>Hub, Cost</t>
        </is>
      </c>
      <c r="H100" s="28" t="inlineStr"/>
      <c r="I100" s="29" t="inlineStr">
        <is>
          <t>To find</t>
        </is>
      </c>
      <c r="J100" s="28" t="n"/>
      <c r="K100" s="29" t="n"/>
      <c r="L100" s="28" t="n"/>
      <c r="M100" s="30">
        <f>IF(ISNUMBER(SEARCH("/dp/",L100)),MID(L100,SEARCH("/dp/",L100)+4,10),"")</f>
        <v/>
      </c>
      <c r="N100" s="28" t="n"/>
      <c r="O100" s="29" t="n"/>
      <c r="P100" s="31" t="n"/>
      <c r="Q100" s="29" t="n"/>
      <c r="R100" s="32" t="n"/>
      <c r="S100" s="28" t="n"/>
    </row>
    <row r="101">
      <c r="A101" s="42" t="inlineStr">
        <is>
          <t>4 Standard</t>
        </is>
      </c>
      <c r="B101" s="26" t="inlineStr">
        <is>
          <t>NEED</t>
        </is>
      </c>
      <c r="C101" s="27" t="inlineStr">
        <is>
          <t>Other</t>
        </is>
      </c>
      <c r="D101" s="28" t="inlineStr">
        <is>
          <t>Egg-crate flats, for roach hides</t>
        </is>
      </c>
      <c r="E101" s="29" t="n">
        <v>1</v>
      </c>
      <c r="F101" s="28" t="inlineStr">
        <is>
          <t>Hissing cockroach</t>
        </is>
      </c>
      <c r="G101" s="28" t="inlineStr">
        <is>
          <t>Hub</t>
        </is>
      </c>
      <c r="H101" s="28" t="inlineStr"/>
      <c r="I101" s="29" t="inlineStr">
        <is>
          <t>To find</t>
        </is>
      </c>
      <c r="J101" s="28" t="n"/>
      <c r="K101" s="29" t="n"/>
      <c r="L101" s="28" t="n"/>
      <c r="M101" s="30">
        <f>IF(ISNUMBER(SEARCH("/dp/",L101)),MID(L101,SEARCH("/dp/",L101)+4,10),"")</f>
        <v/>
      </c>
      <c r="N101" s="28" t="n"/>
      <c r="O101" s="29" t="n"/>
      <c r="P101" s="31" t="n"/>
      <c r="Q101" s="29" t="n"/>
      <c r="R101" s="32" t="n"/>
      <c r="S101" s="28" t="n"/>
    </row>
    <row r="102">
      <c r="A102" s="42" t="inlineStr">
        <is>
          <t>4 Standard</t>
        </is>
      </c>
      <c r="B102" s="26" t="inlineStr">
        <is>
          <t>NEED</t>
        </is>
      </c>
      <c r="C102" s="27" t="inlineStr">
        <is>
          <t>Other</t>
        </is>
      </c>
      <c r="D102" s="28" t="inlineStr">
        <is>
          <t>Parrot shredding material: palm strips, willow, seagrass, paper strips</t>
        </is>
      </c>
      <c r="E102" s="29" t="n">
        <v>1</v>
      </c>
      <c r="F102" s="28" t="inlineStr">
        <is>
          <t>Quaker parakeet</t>
        </is>
      </c>
      <c r="G102" s="28" t="inlineStr">
        <is>
          <t>Hub</t>
        </is>
      </c>
      <c r="H102" s="28" t="inlineStr"/>
      <c r="I102" s="29" t="inlineStr">
        <is>
          <t>To find</t>
        </is>
      </c>
      <c r="J102" s="28" t="n"/>
      <c r="K102" s="29" t="n"/>
      <c r="L102" s="28" t="n"/>
      <c r="M102" s="30">
        <f>IF(ISNUMBER(SEARCH("/dp/",L102)),MID(L102,SEARCH("/dp/",L102)+4,10),"")</f>
        <v/>
      </c>
      <c r="N102" s="28" t="n"/>
      <c r="O102" s="29" t="n"/>
      <c r="P102" s="31" t="n"/>
      <c r="Q102" s="29" t="n"/>
      <c r="R102" s="32" t="n"/>
      <c r="S102" s="28" t="n"/>
    </row>
    <row r="103">
      <c r="A103" s="42" t="inlineStr">
        <is>
          <t>4 Standard</t>
        </is>
      </c>
      <c r="B103" s="26" t="inlineStr">
        <is>
          <t>NEED</t>
        </is>
      </c>
      <c r="C103" s="27" t="inlineStr">
        <is>
          <t>Other</t>
        </is>
      </c>
      <c r="D103" s="28" t="inlineStr">
        <is>
          <t>Pond liner underlayment fabric, sized to the liner</t>
        </is>
      </c>
      <c r="E103" s="29" t="n">
        <v>1</v>
      </c>
      <c r="F103" s="28" t="inlineStr">
        <is>
          <t>Koi</t>
        </is>
      </c>
      <c r="G103" s="28" t="inlineStr">
        <is>
          <t>Hub</t>
        </is>
      </c>
      <c r="H103" s="28" t="inlineStr"/>
      <c r="I103" s="29" t="inlineStr">
        <is>
          <t>To find</t>
        </is>
      </c>
      <c r="J103" s="28" t="n"/>
      <c r="K103" s="29" t="n"/>
      <c r="L103" s="28" t="n"/>
      <c r="M103" s="30">
        <f>IF(ISNUMBER(SEARCH("/dp/",L103)),MID(L103,SEARCH("/dp/",L103)+4,10),"")</f>
        <v/>
      </c>
      <c r="N103" s="28" t="n"/>
      <c r="O103" s="29" t="n"/>
      <c r="P103" s="31" t="n"/>
      <c r="Q103" s="29" t="n"/>
      <c r="R103" s="32" t="n"/>
      <c r="S103" s="28" t="n"/>
    </row>
    <row r="104">
      <c r="A104" s="42" t="inlineStr">
        <is>
          <t>4 Standard</t>
        </is>
      </c>
      <c r="B104" s="26" t="inlineStr">
        <is>
          <t>NEED</t>
        </is>
      </c>
      <c r="C104" s="27" t="inlineStr">
        <is>
          <t>Other</t>
        </is>
      </c>
      <c r="D104" s="28" t="inlineStr">
        <is>
          <t>Retes stack or basking shelf tiles</t>
        </is>
      </c>
      <c r="E104" s="29" t="n">
        <v>1</v>
      </c>
      <c r="F104" s="28" t="inlineStr">
        <is>
          <t>Ackie monitor</t>
        </is>
      </c>
      <c r="G104" s="28" t="inlineStr">
        <is>
          <t>Hub, Cost</t>
        </is>
      </c>
      <c r="H104" s="28" t="inlineStr"/>
      <c r="I104" s="29" t="inlineStr">
        <is>
          <t>To find</t>
        </is>
      </c>
      <c r="J104" s="28" t="n"/>
      <c r="K104" s="29" t="n"/>
      <c r="L104" s="28" t="n"/>
      <c r="M104" s="30">
        <f>IF(ISNUMBER(SEARCH("/dp/",L104)),MID(L104,SEARCH("/dp/",L104)+4,10),"")</f>
        <v/>
      </c>
      <c r="N104" s="28" t="n"/>
      <c r="O104" s="29" t="n"/>
      <c r="P104" s="31" t="n"/>
      <c r="Q104" s="29" t="n"/>
      <c r="R104" s="32" t="n"/>
      <c r="S104" s="28" t="n"/>
    </row>
    <row r="105">
      <c r="A105" s="42" t="inlineStr">
        <is>
          <t>4 Standard</t>
        </is>
      </c>
      <c r="B105" s="26" t="inlineStr">
        <is>
          <t>NEED</t>
        </is>
      </c>
      <c r="C105" s="27" t="inlineStr">
        <is>
          <t>Other</t>
        </is>
      </c>
      <c r="D105" s="28" t="inlineStr">
        <is>
          <t>Stainless cage locks, cockatoo-proof</t>
        </is>
      </c>
      <c r="E105" s="29" t="n">
        <v>1</v>
      </c>
      <c r="F105" s="28" t="inlineStr">
        <is>
          <t>Cockatoo</t>
        </is>
      </c>
      <c r="G105" s="28" t="inlineStr">
        <is>
          <t>Hub</t>
        </is>
      </c>
      <c r="H105" s="28" t="inlineStr"/>
      <c r="I105" s="29" t="inlineStr">
        <is>
          <t>To find</t>
        </is>
      </c>
      <c r="J105" s="28" t="n"/>
      <c r="K105" s="29" t="n"/>
      <c r="L105" s="28" t="n"/>
      <c r="M105" s="30">
        <f>IF(ISNUMBER(SEARCH("/dp/",L105)),MID(L105,SEARCH("/dp/",L105)+4,10),"")</f>
        <v/>
      </c>
      <c r="N105" s="28" t="n"/>
      <c r="O105" s="29" t="n"/>
      <c r="P105" s="31" t="n"/>
      <c r="Q105" s="29" t="n"/>
      <c r="R105" s="32" t="n"/>
      <c r="S105" s="28" t="n"/>
    </row>
    <row r="106">
      <c r="A106" s="42" t="inlineStr">
        <is>
          <t>4 Standard</t>
        </is>
      </c>
      <c r="B106" s="26" t="inlineStr">
        <is>
          <t>NEED</t>
        </is>
      </c>
      <c r="C106" s="27" t="inlineStr">
        <is>
          <t>Other</t>
        </is>
      </c>
      <c r="D106" s="28" t="inlineStr">
        <is>
          <t>Substrate dam, clear acrylic front barrier</t>
        </is>
      </c>
      <c r="E106" s="29" t="n">
        <v>1</v>
      </c>
      <c r="F106" s="28" t="inlineStr">
        <is>
          <t>Ackie monitor</t>
        </is>
      </c>
      <c r="G106" s="28" t="inlineStr">
        <is>
          <t>Hub</t>
        </is>
      </c>
      <c r="H106" s="28" t="inlineStr"/>
      <c r="I106" s="29" t="inlineStr">
        <is>
          <t>To find</t>
        </is>
      </c>
      <c r="J106" s="28" t="n"/>
      <c r="K106" s="29" t="n"/>
      <c r="L106" s="28" t="n"/>
      <c r="M106" s="30">
        <f>IF(ISNUMBER(SEARCH("/dp/",L106)),MID(L106,SEARCH("/dp/",L106)+4,10),"")</f>
        <v/>
      </c>
      <c r="N106" s="28" t="n"/>
      <c r="O106" s="29" t="n"/>
      <c r="P106" s="31" t="n"/>
      <c r="Q106" s="29" t="n"/>
      <c r="R106" s="32" t="n"/>
      <c r="S106" s="28" t="n"/>
    </row>
    <row r="107">
      <c r="A107" s="42" t="inlineStr">
        <is>
          <t>4 Standard</t>
        </is>
      </c>
      <c r="B107" s="26" t="inlineStr">
        <is>
          <t>NEED</t>
        </is>
      </c>
      <c r="C107" s="27" t="inlineStr">
        <is>
          <t>Other</t>
        </is>
      </c>
      <c r="D107" s="28" t="inlineStr">
        <is>
          <t>Washable pen flooring (vinyl mat, rug or fleece over a yoga mat) and a waterproof tarp</t>
        </is>
      </c>
      <c r="E107" s="29" t="n">
        <v>1</v>
      </c>
      <c r="F107" s="28" t="inlineStr">
        <is>
          <t>Rabbit</t>
        </is>
      </c>
      <c r="G107" s="28" t="inlineStr">
        <is>
          <t>Hub</t>
        </is>
      </c>
      <c r="H107" s="28" t="inlineStr"/>
      <c r="I107" s="29" t="inlineStr">
        <is>
          <t>To find</t>
        </is>
      </c>
      <c r="J107" s="28" t="n"/>
      <c r="K107" s="29" t="n"/>
      <c r="L107" s="28" t="n"/>
      <c r="M107" s="30">
        <f>IF(ISNUMBER(SEARCH("/dp/",L107)),MID(L107,SEARCH("/dp/",L107)+4,10),"")</f>
        <v/>
      </c>
      <c r="N107" s="28" t="n"/>
      <c r="O107" s="29" t="n"/>
      <c r="P107" s="31" t="n"/>
      <c r="Q107" s="29" t="n"/>
      <c r="R107" s="32" t="n"/>
      <c r="S107" s="28" t="n"/>
    </row>
    <row r="108">
      <c r="A108" s="42" t="inlineStr">
        <is>
          <t>4 Standard</t>
        </is>
      </c>
      <c r="B108" s="26" t="inlineStr">
        <is>
          <t>NEED</t>
        </is>
      </c>
      <c r="C108" s="27" t="inlineStr">
        <is>
          <t>Other</t>
        </is>
      </c>
      <c r="D108" s="28" t="inlineStr">
        <is>
          <t>Water tubes or a stoppered container for cut host-plant stems</t>
        </is>
      </c>
      <c r="E108" s="29" t="n">
        <v>1</v>
      </c>
      <c r="F108" s="28" t="inlineStr">
        <is>
          <t>Stick insect</t>
        </is>
      </c>
      <c r="G108" s="28" t="inlineStr">
        <is>
          <t>Hub</t>
        </is>
      </c>
      <c r="H108" s="28" t="inlineStr"/>
      <c r="I108" s="29" t="inlineStr">
        <is>
          <t>To find</t>
        </is>
      </c>
      <c r="J108" s="28" t="n"/>
      <c r="K108" s="29" t="n"/>
      <c r="L108" s="28" t="n"/>
      <c r="M108" s="30">
        <f>IF(ISNUMBER(SEARCH("/dp/",L108)),MID(L108,SEARCH("/dp/",L108)+4,10),"")</f>
        <v/>
      </c>
      <c r="N108" s="28" t="n"/>
      <c r="O108" s="29" t="n"/>
      <c r="P108" s="31" t="n"/>
      <c r="Q108" s="29" t="n"/>
      <c r="R108" s="32" t="n"/>
      <c r="S108" s="28" t="n"/>
    </row>
    <row r="109">
      <c r="A109" s="42" t="inlineStr">
        <is>
          <t>4 Standard</t>
        </is>
      </c>
      <c r="B109" s="26" t="inlineStr">
        <is>
          <t>NEED</t>
        </is>
      </c>
      <c r="C109" s="37" t="inlineStr">
        <is>
          <t>Substrate</t>
        </is>
      </c>
      <c r="D109" s="28" t="inlineStr">
        <is>
          <t>Large smooth river rock, aquarium safe, for a water section</t>
        </is>
      </c>
      <c r="E109" s="29" t="n">
        <v>1</v>
      </c>
      <c r="F109" s="28" t="inlineStr">
        <is>
          <t>Fire-bellied toad</t>
        </is>
      </c>
      <c r="G109" s="28" t="inlineStr">
        <is>
          <t>Hub</t>
        </is>
      </c>
      <c r="H109" s="28" t="inlineStr"/>
      <c r="I109" s="29" t="inlineStr">
        <is>
          <t>To find</t>
        </is>
      </c>
      <c r="J109" s="28" t="n"/>
      <c r="K109" s="29" t="n"/>
      <c r="L109" s="28" t="n"/>
      <c r="M109" s="30">
        <f>IF(ISNUMBER(SEARCH("/dp/",L109)),MID(L109,SEARCH("/dp/",L109)+4,10),"")</f>
        <v/>
      </c>
      <c r="N109" s="28" t="n"/>
      <c r="O109" s="29" t="n"/>
      <c r="P109" s="31" t="n"/>
      <c r="Q109" s="29" t="n"/>
      <c r="R109" s="32" t="n"/>
      <c r="S109" s="28" t="n"/>
    </row>
    <row r="110">
      <c r="A110" s="42" t="inlineStr">
        <is>
          <t>4 Standard</t>
        </is>
      </c>
      <c r="B110" s="26" t="inlineStr">
        <is>
          <t>NEED</t>
        </is>
      </c>
      <c r="C110" s="44" t="inlineStr">
        <is>
          <t>Water testing</t>
        </is>
      </c>
      <c r="D110" s="28" t="inlineStr">
        <is>
          <t>TDS meter, handheld digital, 0 to 999 ppm</t>
        </is>
      </c>
      <c r="E110" s="29" t="n">
        <v>1</v>
      </c>
      <c r="F110" s="28" t="inlineStr">
        <is>
          <t>Cherry shrimp</t>
        </is>
      </c>
      <c r="G110" s="28" t="inlineStr">
        <is>
          <t>Hub</t>
        </is>
      </c>
      <c r="H110" s="28" t="inlineStr"/>
      <c r="I110" s="29" t="inlineStr">
        <is>
          <t>To find</t>
        </is>
      </c>
      <c r="J110" s="28" t="n"/>
      <c r="K110" s="29" t="n"/>
      <c r="L110" s="28" t="n"/>
      <c r="M110" s="30">
        <f>IF(ISNUMBER(SEARCH("/dp/",L110)),MID(L110,SEARCH("/dp/",L110)+4,10),"")</f>
        <v/>
      </c>
      <c r="N110" s="28" t="n"/>
      <c r="O110" s="29" t="n"/>
      <c r="P110" s="31" t="n"/>
      <c r="Q110" s="29" t="n"/>
      <c r="R110" s="32" t="n"/>
      <c r="S110" s="28" t="n"/>
    </row>
    <row r="111">
      <c r="A111" s="42" t="inlineStr">
        <is>
          <t>4 Standard</t>
        </is>
      </c>
      <c r="B111" s="39" t="inlineStr">
        <is>
          <t>COULD</t>
        </is>
      </c>
      <c r="C111" s="40" t="inlineStr">
        <is>
          <t>Health and first aid</t>
        </is>
      </c>
      <c r="D111" s="28" t="inlineStr">
        <is>
          <t>Bird- and small-pet-safe cage disinfectant</t>
        </is>
      </c>
      <c r="E111" s="29" t="n">
        <v>4</v>
      </c>
      <c r="F111" s="28" t="inlineStr">
        <is>
          <t>African grey, Cockatoo, Quaker parakeet, Gerbil</t>
        </is>
      </c>
      <c r="G111" s="28" t="inlineStr">
        <is>
          <t>Setup prose</t>
        </is>
      </c>
      <c r="H111" s="28" t="inlineStr"/>
      <c r="I111" s="29" t="inlineStr">
        <is>
          <t>To find</t>
        </is>
      </c>
      <c r="J111" s="28" t="n"/>
      <c r="K111" s="29" t="n"/>
      <c r="L111" s="28" t="n"/>
      <c r="M111" s="30">
        <f>IF(ISNUMBER(SEARCH("/dp/",L111)),MID(L111,SEARCH("/dp/",L111)+4,10),"")</f>
        <v/>
      </c>
      <c r="N111" s="28" t="n"/>
      <c r="O111" s="29" t="n"/>
      <c r="P111" s="31" t="n"/>
      <c r="Q111" s="29" t="n"/>
      <c r="R111" s="32" t="n"/>
      <c r="S111" s="28" t="n"/>
    </row>
    <row r="112">
      <c r="A112" s="42" t="inlineStr">
        <is>
          <t>4 Standard</t>
        </is>
      </c>
      <c r="B112" s="39" t="inlineStr">
        <is>
          <t>COULD</t>
        </is>
      </c>
      <c r="C112" s="43" t="inlineStr">
        <is>
          <t>Filtration</t>
        </is>
      </c>
      <c r="D112" s="28" t="inlineStr">
        <is>
          <t>Air pump and air stone sized for 55 to 75 gal, for supplemental oxygenation beside a canister</t>
        </is>
      </c>
      <c r="E112" s="29" t="n">
        <v>1</v>
      </c>
      <c r="F112" s="28" t="inlineStr">
        <is>
          <t>Discus</t>
        </is>
      </c>
      <c r="G112" s="28" t="inlineStr">
        <is>
          <t>Setup prose</t>
        </is>
      </c>
      <c r="H112" s="28" t="inlineStr"/>
      <c r="I112" s="29" t="inlineStr">
        <is>
          <t>To find</t>
        </is>
      </c>
      <c r="J112" s="28" t="n"/>
      <c r="K112" s="29" t="n"/>
      <c r="L112" s="28" t="n"/>
      <c r="M112" s="30">
        <f>IF(ISNUMBER(SEARCH("/dp/",L112)),MID(L112,SEARCH("/dp/",L112)+4,10),"")</f>
        <v/>
      </c>
      <c r="N112" s="28" t="n"/>
      <c r="O112" s="29" t="n"/>
      <c r="P112" s="31" t="n"/>
      <c r="Q112" s="29" t="n"/>
      <c r="R112" s="32" t="n"/>
      <c r="S112" s="28" t="n"/>
    </row>
    <row r="113">
      <c r="A113" s="42" t="inlineStr">
        <is>
          <t>4 Standard</t>
        </is>
      </c>
      <c r="B113" s="39" t="inlineStr">
        <is>
          <t>COULD</t>
        </is>
      </c>
      <c r="C113" s="37" t="inlineStr">
        <is>
          <t>Substrate</t>
        </is>
      </c>
      <c r="D113" s="28" t="inlineStr">
        <is>
          <t>Drainage layer media (clay balls or hydroballs) with a substrate barrier mesh, for bioactive builds</t>
        </is>
      </c>
      <c r="E113" s="29" t="n">
        <v>1</v>
      </c>
      <c r="F113" s="28" t="inlineStr">
        <is>
          <t>Gargoyle gecko</t>
        </is>
      </c>
      <c r="G113" s="28" t="inlineStr">
        <is>
          <t>Setup prose</t>
        </is>
      </c>
      <c r="H113" s="28" t="inlineStr"/>
      <c r="I113" s="29" t="inlineStr">
        <is>
          <t>To find</t>
        </is>
      </c>
      <c r="J113" s="28" t="n"/>
      <c r="K113" s="29" t="n"/>
      <c r="L113" s="28" t="n"/>
      <c r="M113" s="30">
        <f>IF(ISNUMBER(SEARCH("/dp/",L113)),MID(L113,SEARCH("/dp/",L113)+4,10),"")</f>
        <v/>
      </c>
      <c r="N113" s="28" t="n"/>
      <c r="O113" s="29" t="n"/>
      <c r="P113" s="31" t="n"/>
      <c r="Q113" s="29" t="n"/>
      <c r="R113" s="32" t="n"/>
      <c r="S113" s="28" t="n"/>
    </row>
    <row r="114">
      <c r="A114" s="45" t="inlineStr">
        <is>
          <t>5 Big ticket, later</t>
        </is>
      </c>
      <c r="B114" s="26" t="inlineStr">
        <is>
          <t>NEED</t>
        </is>
      </c>
      <c r="C114" s="38" t="inlineStr">
        <is>
          <t>Enclosures and cages</t>
        </is>
      </c>
      <c r="D114" s="28" t="inlineStr">
        <is>
          <t>PVC enclosure, 8x4x4 ft (the catalog 8 ft unit is only 2 ft deep and tall)</t>
        </is>
      </c>
      <c r="E114" s="29" t="n">
        <v>3</v>
      </c>
      <c r="F114" s="28" t="inlineStr">
        <is>
          <t>Argentine tegu, Savannah monitor, Uromastyx</t>
        </is>
      </c>
      <c r="G114" s="28" t="inlineStr">
        <is>
          <t>Hub, Cost</t>
        </is>
      </c>
      <c r="H114" s="28" t="inlineStr">
        <is>
          <t>(adult Egyptian)</t>
        </is>
      </c>
      <c r="I114" s="29" t="inlineStr">
        <is>
          <t>To find</t>
        </is>
      </c>
      <c r="J114" s="28" t="n"/>
      <c r="K114" s="29" t="n"/>
      <c r="L114" s="28" t="n"/>
      <c r="M114" s="30">
        <f>IF(ISNUMBER(SEARCH("/dp/",L114)),MID(L114,SEARCH("/dp/",L114)+4,10),"")</f>
        <v/>
      </c>
      <c r="N114" s="28" t="n"/>
      <c r="O114" s="29" t="n"/>
      <c r="P114" s="31" t="n"/>
      <c r="Q114" s="29" t="n"/>
      <c r="R114" s="32" t="n"/>
      <c r="S114" s="28" t="n"/>
    </row>
    <row r="115">
      <c r="A115" s="45" t="inlineStr">
        <is>
          <t>5 Big ticket, later</t>
        </is>
      </c>
      <c r="B115" s="26" t="inlineStr">
        <is>
          <t>NEED</t>
        </is>
      </c>
      <c r="C115" s="38" t="inlineStr">
        <is>
          <t>Enclosures and cages</t>
        </is>
      </c>
      <c r="D115" s="28" t="inlineStr">
        <is>
          <t>75-gallon glass aquarium, 48x18x21 in, tank only</t>
        </is>
      </c>
      <c r="E115" s="29" t="n">
        <v>2</v>
      </c>
      <c r="F115" s="28" t="inlineStr">
        <is>
          <t>Oscar, Discus</t>
        </is>
      </c>
      <c r="G115" s="28" t="inlineStr">
        <is>
          <t>Hub, Cost</t>
        </is>
      </c>
      <c r="H115" s="28" t="inlineStr"/>
      <c r="I115" s="29" t="inlineStr">
        <is>
          <t>To find</t>
        </is>
      </c>
      <c r="J115" s="28" t="n"/>
      <c r="K115" s="29" t="n"/>
      <c r="L115" s="28" t="n"/>
      <c r="M115" s="30">
        <f>IF(ISNUMBER(SEARCH("/dp/",L115)),MID(L115,SEARCH("/dp/",L115)+4,10),"")</f>
        <v/>
      </c>
      <c r="N115" s="28" t="n"/>
      <c r="O115" s="29" t="n"/>
      <c r="P115" s="31" t="n"/>
      <c r="Q115" s="29" t="n"/>
      <c r="R115" s="32" t="n"/>
      <c r="S115" s="28" t="n"/>
    </row>
    <row r="116">
      <c r="A116" s="45" t="inlineStr">
        <is>
          <t>5 Big ticket, later</t>
        </is>
      </c>
      <c r="B116" s="26" t="inlineStr">
        <is>
          <t>NEED</t>
        </is>
      </c>
      <c r="C116" s="38" t="inlineStr">
        <is>
          <t>Enclosures and cages</t>
        </is>
      </c>
      <c r="D116" s="28" t="inlineStr">
        <is>
          <t>Poly livestock stock tank, 100 to 300 gal</t>
        </is>
      </c>
      <c r="E116" s="29" t="n">
        <v>2</v>
      </c>
      <c r="F116" s="28" t="inlineStr">
        <is>
          <t>Red-footed tortoise, Koi</t>
        </is>
      </c>
      <c r="G116" s="28" t="inlineStr">
        <is>
          <t>Hub</t>
        </is>
      </c>
      <c r="H116" s="28" t="inlineStr">
        <is>
          <t>(adult enclosure) (quarantine system)</t>
        </is>
      </c>
      <c r="I116" s="29" t="inlineStr">
        <is>
          <t>To find</t>
        </is>
      </c>
      <c r="J116" s="28" t="n"/>
      <c r="K116" s="29" t="n"/>
      <c r="L116" s="28" t="n"/>
      <c r="M116" s="30">
        <f>IF(ISNUMBER(SEARCH("/dp/",L116)),MID(L116,SEARCH("/dp/",L116)+4,10),"")</f>
        <v/>
      </c>
      <c r="N116" s="28" t="n"/>
      <c r="O116" s="29" t="n"/>
      <c r="P116" s="31" t="n"/>
      <c r="Q116" s="29" t="n"/>
      <c r="R116" s="32" t="n"/>
      <c r="S116" s="28" t="n"/>
    </row>
    <row r="117">
      <c r="A117" s="45" t="inlineStr">
        <is>
          <t>5 Big ticket, later</t>
        </is>
      </c>
      <c r="B117" s="26" t="inlineStr">
        <is>
          <t>NEED</t>
        </is>
      </c>
      <c r="C117" s="38" t="inlineStr">
        <is>
          <t>Enclosures and cages</t>
        </is>
      </c>
      <c r="D117" s="28" t="inlineStr">
        <is>
          <t>HDPE or PVC enclosure, 6x3x6 ft, made to order</t>
        </is>
      </c>
      <c r="E117" s="29" t="n">
        <v>1</v>
      </c>
      <c r="F117" s="28" t="inlineStr">
        <is>
          <t>Green iguana</t>
        </is>
      </c>
      <c r="G117" s="28" t="inlineStr">
        <is>
          <t>Cost</t>
        </is>
      </c>
      <c r="H117" s="28" t="inlineStr"/>
      <c r="I117" s="29" t="inlineStr">
        <is>
          <t>To find</t>
        </is>
      </c>
      <c r="J117" s="28" t="n"/>
      <c r="K117" s="29" t="n"/>
      <c r="L117" s="28" t="n"/>
      <c r="M117" s="30">
        <f>IF(ISNUMBER(SEARCH("/dp/",L117)),MID(L117,SEARCH("/dp/",L117)+4,10),"")</f>
        <v/>
      </c>
      <c r="N117" s="28" t="n"/>
      <c r="O117" s="29" t="n"/>
      <c r="P117" s="31" t="n"/>
      <c r="Q117" s="29" t="n"/>
      <c r="R117" s="32" t="n"/>
      <c r="S117" s="28" t="n"/>
    </row>
    <row r="118">
      <c r="A118" s="45" t="inlineStr">
        <is>
          <t>5 Big ticket, later</t>
        </is>
      </c>
      <c r="B118" s="26" t="inlineStr">
        <is>
          <t>NEED</t>
        </is>
      </c>
      <c r="C118" s="38" t="inlineStr">
        <is>
          <t>Enclosures and cages</t>
        </is>
      </c>
      <c r="D118" s="28" t="inlineStr">
        <is>
          <t>PVC enclosure, 6x2x4 ft, ready made</t>
        </is>
      </c>
      <c r="E118" s="29" t="n">
        <v>1</v>
      </c>
      <c r="F118" s="28" t="inlineStr">
        <is>
          <t>Green iguana</t>
        </is>
      </c>
      <c r="G118" s="28" t="inlineStr">
        <is>
          <t>Cost</t>
        </is>
      </c>
      <c r="H118" s="28" t="inlineStr"/>
      <c r="I118" s="29" t="inlineStr">
        <is>
          <t>To find</t>
        </is>
      </c>
      <c r="J118" s="28" t="n"/>
      <c r="K118" s="29" t="n"/>
      <c r="L118" s="28" t="n"/>
      <c r="M118" s="30">
        <f>IF(ISNUMBER(SEARCH("/dp/",L118)),MID(L118,SEARCH("/dp/",L118)+4,10),"")</f>
        <v/>
      </c>
      <c r="N118" s="28" t="n"/>
      <c r="O118" s="29" t="n"/>
      <c r="P118" s="31" t="n"/>
      <c r="Q118" s="29" t="n"/>
      <c r="R118" s="32" t="n"/>
      <c r="S118" s="28" t="n"/>
    </row>
    <row r="119">
      <c r="A119" s="45" t="inlineStr">
        <is>
          <t>5 Big ticket, later</t>
        </is>
      </c>
      <c r="B119" s="26" t="inlineStr">
        <is>
          <t>NEED</t>
        </is>
      </c>
      <c r="C119" s="38" t="inlineStr">
        <is>
          <t>Enclosures and cages</t>
        </is>
      </c>
      <c r="D119" s="28" t="inlineStr">
        <is>
          <t>PVC enclosure, 8x2x4 ft, ready made</t>
        </is>
      </c>
      <c r="E119" s="29" t="n">
        <v>1</v>
      </c>
      <c r="F119" s="28" t="inlineStr">
        <is>
          <t>Green iguana</t>
        </is>
      </c>
      <c r="G119" s="28" t="inlineStr">
        <is>
          <t>Cost</t>
        </is>
      </c>
      <c r="H119" s="28" t="inlineStr"/>
      <c r="I119" s="29" t="inlineStr">
        <is>
          <t>To find</t>
        </is>
      </c>
      <c r="J119" s="28" t="n"/>
      <c r="K119" s="29" t="n"/>
      <c r="L119" s="28" t="n"/>
      <c r="M119" s="30">
        <f>IF(ISNUMBER(SEARCH("/dp/",L119)),MID(L119,SEARCH("/dp/",L119)+4,10),"")</f>
        <v/>
      </c>
      <c r="N119" s="28" t="n"/>
      <c r="O119" s="29" t="n"/>
      <c r="P119" s="31" t="n"/>
      <c r="Q119" s="29" t="n"/>
      <c r="R119" s="32" t="n"/>
      <c r="S119" s="28" t="n"/>
    </row>
    <row r="120">
      <c r="A120" s="46" t="inlineStr">
        <is>
          <t>6 Specialty supplier</t>
        </is>
      </c>
      <c r="B120" s="26" t="inlineStr">
        <is>
          <t>NEED</t>
        </is>
      </c>
      <c r="C120" s="36" t="inlineStr">
        <is>
          <t>Food and supplements</t>
        </is>
      </c>
      <c r="D120" s="28" t="inlineStr">
        <is>
          <t>Live crickets, sized from pinhead to adult</t>
        </is>
      </c>
      <c r="E120" s="29" t="n">
        <v>16</v>
      </c>
      <c r="F120" s="28" t="inlineStr">
        <is>
          <t>Fire-bellied toad, Pacman frog, Tiger salamander, African fat-tail gecko, Leopard gecko, Crested gecko, Tokay gecko, Leaf-tailed gecko, Mourning gecko, Green anole, Bearded dragon, Emperor scorpion, Praying mantis, Jumping spider, Tarantula, Hedgehog</t>
        </is>
      </c>
      <c r="G120" s="28" t="inlineStr">
        <is>
          <t>Hub, Cost</t>
        </is>
      </c>
      <c r="H120" s="28" t="inlineStr">
        <is>
          <t>(pinheads)</t>
        </is>
      </c>
      <c r="I120" s="29" t="inlineStr">
        <is>
          <t>To find</t>
        </is>
      </c>
      <c r="J120" s="28" t="n"/>
      <c r="K120" s="29" t="n"/>
      <c r="L120" s="28" t="n"/>
      <c r="M120" s="30">
        <f>IF(ISNUMBER(SEARCH("/dp/",L120)),MID(L120,SEARCH("/dp/",L120)+4,10),"")</f>
        <v/>
      </c>
      <c r="N120" s="28" t="n"/>
      <c r="O120" s="29" t="n"/>
      <c r="P120" s="31" t="n"/>
      <c r="Q120" s="29" t="n"/>
      <c r="R120" s="32" t="n"/>
      <c r="S120" s="28" t="n"/>
    </row>
    <row r="121">
      <c r="A121" s="46" t="inlineStr">
        <is>
          <t>6 Specialty supplier</t>
        </is>
      </c>
      <c r="B121" s="26" t="inlineStr">
        <is>
          <t>NEED</t>
        </is>
      </c>
      <c r="C121" s="36" t="inlineStr">
        <is>
          <t>Food and supplements</t>
        </is>
      </c>
      <c r="D121" s="28" t="inlineStr">
        <is>
          <t>Frozen feeder rodents, pinky mice through adult rats</t>
        </is>
      </c>
      <c r="E121" s="29" t="n">
        <v>8</v>
      </c>
      <c r="F121" s="28" t="inlineStr">
        <is>
          <t>Ball python, Boa constrictor, California kingsnake, Corn snake, Hognose snake, Milk snake, Rosy boa, Garter snake</t>
        </is>
      </c>
      <c r="G121" s="28" t="inlineStr">
        <is>
          <t>Hub, Cost</t>
        </is>
      </c>
      <c r="H121" s="28" t="inlineStr"/>
      <c r="I121" s="29" t="inlineStr">
        <is>
          <t>To find</t>
        </is>
      </c>
      <c r="J121" s="28" t="n"/>
      <c r="K121" s="29" t="n"/>
      <c r="L121" s="28" t="n"/>
      <c r="M121" s="30">
        <f>IF(ISNUMBER(SEARCH("/dp/",L121)),MID(L121,SEARCH("/dp/",L121)+4,10),"")</f>
        <v/>
      </c>
      <c r="N121" s="28" t="n"/>
      <c r="O121" s="29" t="n"/>
      <c r="P121" s="31" t="n"/>
      <c r="Q121" s="29" t="n"/>
      <c r="R121" s="32" t="n"/>
      <c r="S121" s="28" t="n"/>
    </row>
    <row r="122">
      <c r="A122" s="46" t="inlineStr">
        <is>
          <t>6 Specialty supplier</t>
        </is>
      </c>
      <c r="B122" s="26" t="inlineStr">
        <is>
          <t>NEED</t>
        </is>
      </c>
      <c r="C122" s="36" t="inlineStr">
        <is>
          <t>Food and supplements</t>
        </is>
      </c>
      <c r="D122" s="28" t="inlineStr">
        <is>
          <t>Other live feeders: mealworms, black soldier fly larvae, waxworms, silkworms, blackworms, bottle fly spikes</t>
        </is>
      </c>
      <c r="E122" s="29" t="n">
        <v>7</v>
      </c>
      <c r="F122" s="28" t="inlineStr">
        <is>
          <t>Leopard gecko, Fire-bellied toad, Emperor scorpion, Box turtle, Hedgehog, Sugar glider, Praying mantis</t>
        </is>
      </c>
      <c r="G122" s="28" t="inlineStr">
        <is>
          <t>Hub, Cost</t>
        </is>
      </c>
      <c r="H122" s="28" t="inlineStr">
        <is>
          <t>(BSFL) (bottle flies)</t>
        </is>
      </c>
      <c r="I122" s="29" t="inlineStr">
        <is>
          <t>To find</t>
        </is>
      </c>
      <c r="J122" s="28" t="n"/>
      <c r="K122" s="29" t="n"/>
      <c r="L122" s="28" t="n"/>
      <c r="M122" s="30">
        <f>IF(ISNUMBER(SEARCH("/dp/",L122)),MID(L122,SEARCH("/dp/",L122)+4,10),"")</f>
        <v/>
      </c>
      <c r="N122" s="28" t="n"/>
      <c r="O122" s="29" t="n"/>
      <c r="P122" s="31" t="n"/>
      <c r="Q122" s="29" t="n"/>
      <c r="R122" s="32" t="n"/>
      <c r="S122" s="28" t="n"/>
    </row>
    <row r="123">
      <c r="A123" s="46" t="inlineStr">
        <is>
          <t>6 Specialty supplier</t>
        </is>
      </c>
      <c r="B123" s="26" t="inlineStr">
        <is>
          <t>NEED</t>
        </is>
      </c>
      <c r="C123" s="36" t="inlineStr">
        <is>
          <t>Food and supplements</t>
        </is>
      </c>
      <c r="D123" s="28" t="inlineStr">
        <is>
          <t>Earthworms or nightcrawlers, live</t>
        </is>
      </c>
      <c r="E123" s="29" t="n">
        <v>6</v>
      </c>
      <c r="F123" s="28" t="inlineStr">
        <is>
          <t>Axolotl, Pacman frog, Tiger salamander, Fire-bellied toad, Garter snake, Box turtle</t>
        </is>
      </c>
      <c r="G123" s="28" t="inlineStr">
        <is>
          <t>Hub, Cost</t>
        </is>
      </c>
      <c r="H123" s="28" t="inlineStr">
        <is>
          <t>(staple)</t>
        </is>
      </c>
      <c r="I123" s="29" t="inlineStr">
        <is>
          <t>To find</t>
        </is>
      </c>
      <c r="J123" s="28" t="n"/>
      <c r="K123" s="29" t="n"/>
      <c r="L123" s="28" t="n"/>
      <c r="M123" s="30">
        <f>IF(ISNUMBER(SEARCH("/dp/",L123)),MID(L123,SEARCH("/dp/",L123)+4,10),"")</f>
        <v/>
      </c>
      <c r="N123" s="28" t="n"/>
      <c r="O123" s="29" t="n"/>
      <c r="P123" s="31" t="n"/>
      <c r="Q123" s="29" t="n"/>
      <c r="R123" s="32" t="n"/>
      <c r="S123" s="28" t="n"/>
    </row>
    <row r="124">
      <c r="A124" s="46" t="inlineStr">
        <is>
          <t>6 Specialty supplier</t>
        </is>
      </c>
      <c r="B124" s="26" t="inlineStr">
        <is>
          <t>NEED</t>
        </is>
      </c>
      <c r="C124" s="36" t="inlineStr">
        <is>
          <t>Food and supplements</t>
        </is>
      </c>
      <c r="D124" s="28" t="inlineStr">
        <is>
          <t>Live isopods and springtails culture, as feeders and bioactive cleanup crew</t>
        </is>
      </c>
      <c r="E124" s="29" t="n">
        <v>6</v>
      </c>
      <c r="F124" s="28" t="inlineStr">
        <is>
          <t>Leaf-tailed gecko, Bearded dragon, Gargoyle gecko, Mourning gecko, Giant millipede, Emperor scorpion</t>
        </is>
      </c>
      <c r="G124" s="28" t="inlineStr">
        <is>
          <t>Hub, Setup prose</t>
        </is>
      </c>
      <c r="H124" s="28" t="inlineStr"/>
      <c r="I124" s="29" t="inlineStr">
        <is>
          <t>To find</t>
        </is>
      </c>
      <c r="J124" s="28" t="n"/>
      <c r="K124" s="29" t="n"/>
      <c r="L124" s="28" t="n"/>
      <c r="M124" s="30">
        <f>IF(ISNUMBER(SEARCH("/dp/",L124)),MID(L124,SEARCH("/dp/",L124)+4,10),"")</f>
        <v/>
      </c>
      <c r="N124" s="28" t="n"/>
      <c r="O124" s="29" t="n"/>
      <c r="P124" s="31" t="n"/>
      <c r="Q124" s="29" t="n"/>
      <c r="R124" s="32" t="n"/>
      <c r="S124" s="28" t="n"/>
    </row>
    <row r="125">
      <c r="A125" s="46" t="inlineStr">
        <is>
          <t>6 Specialty supplier</t>
        </is>
      </c>
      <c r="B125" s="26" t="inlineStr">
        <is>
          <t>NEED</t>
        </is>
      </c>
      <c r="C125" s="36" t="inlineStr">
        <is>
          <t>Food and supplements</t>
        </is>
      </c>
      <c r="D125" s="28" t="inlineStr">
        <is>
          <t>Frozen thiaminase-free feeder fish (tilapia, salmon, or similar)</t>
        </is>
      </c>
      <c r="E125" s="29" t="n">
        <v>1</v>
      </c>
      <c r="F125" s="28" t="inlineStr">
        <is>
          <t>Garter snake</t>
        </is>
      </c>
      <c r="G125" s="28" t="inlineStr">
        <is>
          <t>Hub, Cost</t>
        </is>
      </c>
      <c r="H125" s="28" t="inlineStr"/>
      <c r="I125" s="29" t="inlineStr">
        <is>
          <t>To find</t>
        </is>
      </c>
      <c r="J125" s="28" t="n"/>
      <c r="K125" s="29" t="n"/>
      <c r="L125" s="28" t="n"/>
      <c r="M125" s="30">
        <f>IF(ISNUMBER(SEARCH("/dp/",L125)),MID(L125,SEARCH("/dp/",L125)+4,10),"")</f>
        <v/>
      </c>
      <c r="N125" s="28" t="n"/>
      <c r="O125" s="29" t="n"/>
      <c r="P125" s="31" t="n"/>
      <c r="Q125" s="29" t="n"/>
      <c r="R125" s="32" t="n"/>
      <c r="S125" s="28" t="n"/>
    </row>
    <row r="126">
      <c r="A126" s="46" t="inlineStr">
        <is>
          <t>6 Specialty supplier</t>
        </is>
      </c>
      <c r="B126" s="26" t="inlineStr">
        <is>
          <t>NEED</t>
        </is>
      </c>
      <c r="C126" s="36" t="inlineStr">
        <is>
          <t>Food and supplements</t>
        </is>
      </c>
      <c r="D126" s="28" t="inlineStr">
        <is>
          <t>Live bramble or blackberry host plant, potted</t>
        </is>
      </c>
      <c r="E126" s="29" t="n">
        <v>1</v>
      </c>
      <c r="F126" s="28" t="inlineStr">
        <is>
          <t>Stick insect</t>
        </is>
      </c>
      <c r="G126" s="28" t="inlineStr">
        <is>
          <t>Hub</t>
        </is>
      </c>
      <c r="H126" s="28" t="inlineStr"/>
      <c r="I126" s="29" t="inlineStr">
        <is>
          <t>To find</t>
        </is>
      </c>
      <c r="J126" s="28" t="n"/>
      <c r="K126" s="29" t="n"/>
      <c r="L126" s="28" t="n"/>
      <c r="M126" s="30">
        <f>IF(ISNUMBER(SEARCH("/dp/",L126)),MID(L126,SEARCH("/dp/",L126)+4,10),"")</f>
        <v/>
      </c>
      <c r="N126" s="28" t="n"/>
      <c r="O126" s="29" t="n"/>
      <c r="P126" s="31" t="n"/>
      <c r="Q126" s="29" t="n"/>
      <c r="R126" s="32" t="n"/>
      <c r="S126" s="28" t="n"/>
    </row>
  </sheetData>
  <autoFilter ref="A14:S126"/>
  <mergeCells count="18">
    <mergeCell ref="A4:B4"/>
    <mergeCell ref="C8:G8"/>
    <mergeCell ref="A6:B6"/>
    <mergeCell ref="C4:G4"/>
    <mergeCell ref="C7:G7"/>
    <mergeCell ref="A7:B7"/>
    <mergeCell ref="C6:G6"/>
    <mergeCell ref="C10:G10"/>
    <mergeCell ref="A1:S1"/>
    <mergeCell ref="A5:B5"/>
    <mergeCell ref="A10:B10"/>
    <mergeCell ref="C12:S12"/>
    <mergeCell ref="C5:G5"/>
    <mergeCell ref="A9:B9"/>
    <mergeCell ref="A11:G11"/>
    <mergeCell ref="A8:B8"/>
    <mergeCell ref="C9:G9"/>
    <mergeCell ref="A2:S2"/>
  </mergeCells>
  <conditionalFormatting sqref="I15:I126">
    <cfRule type="expression" priority="1" dxfId="0">
      <formula>$I15="To find"</formula>
    </cfRule>
    <cfRule type="expression" priority="2" dxfId="1">
      <formula>$I15="Link found"</formula>
    </cfRule>
    <cfRule type="expression" priority="4" dxfId="2">
      <formula>$I15="Added to catalog"</formula>
    </cfRule>
    <cfRule type="expression" priority="5" dxfId="3">
      <formula>$I15="Skip"</formula>
    </cfRule>
  </conditionalFormatting>
  <conditionalFormatting sqref="A15:S126">
    <cfRule type="expression" priority="3" dxfId="4">
      <formula>$I15="Added to catalog"</formula>
    </cfRule>
  </conditionalFormatting>
  <conditionalFormatting sqref="E15:E126">
    <cfRule type="expression" priority="6" dxfId="5">
      <formula>$E15&gt;=7</formula>
    </cfRule>
  </conditionalFormatting>
  <dataValidations count="4">
    <dataValidation sqref="I15:I126" showDropDown="0" showInputMessage="0" showErrorMessage="0" allowBlank="1" type="list">
      <formula1>"To find,Link found,Added to catalog,Skip"</formula1>
    </dataValidation>
    <dataValidation sqref="K15:K126" showDropDown="0" showInputMessage="0" showErrorMessage="0" allowBlank="1" type="list">
      <formula1>"Amazon,Chewy,Other"</formula1>
    </dataValidation>
    <dataValidation sqref="Q15:Q126" showDropDown="0" showInputMessage="0" showErrorMessage="0" allowBlank="1" type="list">
      <formula1>"Yes,No"</formula1>
    </dataValidation>
    <dataValidation sqref="P15:P126" showDropDown="0" showInputMessage="0" showErrorMessage="0" allowBlank="1" type="decimal" operator="between">
      <formula1>0</formula1>
      <formula2>5</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2026-09-27T23:58:17Z</dcterms:created>
  <dcterms:modified xsi:type="dcterms:W3CDTF">2026-09-28T09:32:40Z</dcterms:modified>
</cp:coreProperties>
</file>